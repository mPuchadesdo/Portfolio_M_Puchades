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3.xml" ContentType="application/vnd.openxmlformats-officedocument.themeOverrid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4.xml" ContentType="application/vnd.openxmlformats-officedocument.themeOverrid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5.xml" ContentType="application/vnd.openxmlformats-officedocument.themeOverride+xml"/>
  <Override PartName="/xl/pivotTables/pivotTable7.xml" ContentType="application/vnd.openxmlformats-officedocument.spreadsheetml.pivotTable+xml"/>
  <Override PartName="/xl/drawings/drawing9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6.xml" ContentType="application/vnd.openxmlformats-officedocument.themeOverride+xml"/>
  <Override PartName="/xl/pivotTables/pivotTable8.xml" ContentType="application/vnd.openxmlformats-officedocument.spreadsheetml.pivotTable+xml"/>
  <Override PartName="/xl/drawings/drawing10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7.xml" ContentType="application/vnd.openxmlformats-officedocument.themeOverride+xml"/>
  <Override PartName="/xl/pivotTables/pivotTable9.xml" ContentType="application/vnd.openxmlformats-officedocument.spreadsheetml.pivotTable+xml"/>
  <Override PartName="/xl/drawings/drawing11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8.xml" ContentType="application/vnd.openxmlformats-officedocument.themeOverride+xml"/>
  <Override PartName="/xl/pivotTables/pivotTable10.xml" ContentType="application/vnd.openxmlformats-officedocument.spreadsheetml.pivotTable+xml"/>
  <Override PartName="/xl/drawings/drawing12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9.xml" ContentType="application/vnd.openxmlformats-officedocument.themeOverride+xml"/>
  <Override PartName="/xl/pivotTables/pivotTable11.xml" ContentType="application/vnd.openxmlformats-officedocument.spreadsheetml.pivotTable+xml"/>
  <Override PartName="/xl/drawings/drawing13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0.xml" ContentType="application/vnd.openxmlformats-officedocument.themeOverride+xml"/>
  <Override PartName="/xl/pivotTables/pivotTable12.xml" ContentType="application/vnd.openxmlformats-officedocument.spreadsheetml.pivotTable+xml"/>
  <Override PartName="/xl/drawings/drawing14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1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E:\D into E(12-18-2025_00-38)\Usuarios\mpuch\Desktop\Portfolio_M_Puchades\plantillas_Excel\"/>
    </mc:Choice>
  </mc:AlternateContent>
  <xr:revisionPtr revIDLastSave="0" documentId="13_ncr:1_{ED74A5DB-0C96-43BC-B52B-BB1B80FAD935}" xr6:coauthVersionLast="47" xr6:coauthVersionMax="47" xr10:uidLastSave="{00000000-0000-0000-0000-000000000000}"/>
  <bookViews>
    <workbookView xWindow="-120" yWindow="-120" windowWidth="29040" windowHeight="15720" tabRatio="710" activeTab="1" xr2:uid="{00000000-000D-0000-FFFF-FFFF00000000}"/>
  </bookViews>
  <sheets>
    <sheet name="Resumen anual" sheetId="15" r:id="rId1"/>
    <sheet name="Enero" sheetId="3" r:id="rId2"/>
    <sheet name="Febrero" sheetId="1" r:id="rId3"/>
    <sheet name="Marzo" sheetId="4" r:id="rId4"/>
    <sheet name="Abril" sheetId="5" r:id="rId5"/>
    <sheet name="Mayo" sheetId="6" r:id="rId6"/>
    <sheet name="Junio" sheetId="7" r:id="rId7"/>
    <sheet name="Julio" sheetId="8" r:id="rId8"/>
    <sheet name="Agosto" sheetId="9" r:id="rId9"/>
    <sheet name="Septiembre" sheetId="10" r:id="rId10"/>
    <sheet name="Octubre" sheetId="11" r:id="rId11"/>
    <sheet name="Noviembre" sheetId="12" r:id="rId12"/>
    <sheet name="Diciembre" sheetId="13" r:id="rId13"/>
  </sheets>
  <definedNames>
    <definedName name="CATEGORÍA">Febrero!#REF!</definedName>
  </definedNames>
  <calcPr calcId="191029"/>
  <pivotCaches>
    <pivotCache cacheId="0" r:id="rId14"/>
    <pivotCache cacheId="1" r:id="rId15"/>
    <pivotCache cacheId="2" r:id="rId16"/>
    <pivotCache cacheId="3" r:id="rId17"/>
    <pivotCache cacheId="4" r:id="rId18"/>
    <pivotCache cacheId="5" r:id="rId19"/>
    <pivotCache cacheId="6" r:id="rId20"/>
    <pivotCache cacheId="7" r:id="rId21"/>
    <pivotCache cacheId="8" r:id="rId22"/>
    <pivotCache cacheId="9" r:id="rId23"/>
    <pivotCache cacheId="10" r:id="rId24"/>
    <pivotCache cacheId="11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3" l="1"/>
  <c r="I2" i="3"/>
  <c r="D2" i="3" l="1"/>
  <c r="D2" i="13" l="1"/>
  <c r="N5" i="15" s="1"/>
  <c r="D2" i="12"/>
  <c r="M5" i="15" s="1"/>
  <c r="D2" i="11"/>
  <c r="L5" i="15" s="1"/>
  <c r="D2" i="10"/>
  <c r="K5" i="15" s="1"/>
  <c r="D2" i="9"/>
  <c r="J5" i="15" s="1"/>
  <c r="D2" i="8"/>
  <c r="I5" i="15" s="1"/>
  <c r="D2" i="7"/>
  <c r="H5" i="15" s="1"/>
  <c r="D2" i="6"/>
  <c r="G5" i="15" s="1"/>
  <c r="D2" i="5"/>
  <c r="F5" i="15" s="1"/>
  <c r="D2" i="4"/>
  <c r="E5" i="15" s="1"/>
  <c r="D2" i="1"/>
  <c r="D5" i="15" s="1"/>
  <c r="C5" i="15"/>
  <c r="I2" i="12"/>
  <c r="I2" i="11"/>
  <c r="I2" i="10"/>
  <c r="I2" i="9"/>
  <c r="I2" i="8"/>
  <c r="I2" i="7"/>
  <c r="I2" i="6"/>
  <c r="I2" i="5"/>
  <c r="I2" i="4"/>
  <c r="I2" i="1"/>
  <c r="I29" i="15" l="1"/>
  <c r="J29" i="15"/>
  <c r="B29" i="15"/>
  <c r="C6" i="15"/>
  <c r="C8" i="15" s="1"/>
  <c r="C9" i="15" s="1"/>
  <c r="N6" i="15"/>
  <c r="N8" i="15" s="1"/>
  <c r="M6" i="15"/>
  <c r="M8" i="15" s="1"/>
  <c r="L6" i="15"/>
  <c r="L8" i="15" s="1"/>
  <c r="K6" i="15"/>
  <c r="J6" i="15"/>
  <c r="J8" i="15" s="1"/>
  <c r="I6" i="15"/>
  <c r="H6" i="15"/>
  <c r="H8" i="15" s="1"/>
  <c r="G6" i="15"/>
  <c r="G8" i="15" s="1"/>
  <c r="F6" i="15"/>
  <c r="E6" i="15"/>
  <c r="E8" i="15" s="1"/>
  <c r="D6" i="15"/>
  <c r="D8" i="15" s="1"/>
  <c r="F8" i="15" l="1"/>
  <c r="N29" i="15"/>
  <c r="M29" i="15"/>
  <c r="E29" i="15"/>
  <c r="K8" i="15"/>
  <c r="I8" i="15"/>
  <c r="D9" i="15"/>
  <c r="E9" i="15" s="1"/>
  <c r="F9" i="15" l="1"/>
  <c r="G9" i="15" s="1"/>
  <c r="H9" i="15" s="1"/>
  <c r="I9" i="15" s="1"/>
  <c r="J9" i="15" s="1"/>
  <c r="K9" i="15" s="1"/>
  <c r="L9" i="15" s="1"/>
  <c r="M9" i="15" s="1"/>
  <c r="N9" i="1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072278-08EC-4045-BEB3-7148EADEF015}" keepAlive="1" name="Query - Enero" description="Connection to the 'Enero' query in the workbook." type="5" refreshedVersion="0" background="1">
    <dbPr connection="Provider=Microsoft.Mashup.OleDb.1;Data Source=$Workbook$;Location=Enero;Extended Properties=&quot;&quot;" command="SELECT * FROM [Enero]"/>
  </connection>
</connections>
</file>

<file path=xl/sharedStrings.xml><?xml version="1.0" encoding="utf-8"?>
<sst xmlns="http://schemas.openxmlformats.org/spreadsheetml/2006/main" count="537" uniqueCount="79">
  <si>
    <t>Transporte</t>
  </si>
  <si>
    <t>Ocio</t>
  </si>
  <si>
    <t>Casa</t>
  </si>
  <si>
    <t>Deporte</t>
  </si>
  <si>
    <t>Inversiones</t>
  </si>
  <si>
    <t>Ropa</t>
  </si>
  <si>
    <t>CATEGORÍA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</si>
  <si>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</si>
  <si>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</si>
  <si>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</si>
  <si>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</si>
  <si>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</si>
  <si>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</si>
  <si>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</si>
  <si>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</si>
  <si>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</si>
  <si>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</si>
  <si>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</si>
  <si>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</si>
  <si>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</si>
  <si>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Ingresos</t>
  </si>
  <si>
    <t>Gastos</t>
  </si>
  <si>
    <t>Resultado</t>
  </si>
  <si>
    <t>RESUMEN ANUAL</t>
  </si>
  <si>
    <t>Objetivo de ahorro mensual</t>
  </si>
  <si>
    <t>Total</t>
  </si>
  <si>
    <t>Gasolina</t>
  </si>
  <si>
    <t>Gastos enero</t>
  </si>
  <si>
    <t>Ingresos enero</t>
  </si>
  <si>
    <t>Gastos por categoría</t>
  </si>
  <si>
    <t>Concepto</t>
  </si>
  <si>
    <t>Categoría</t>
  </si>
  <si>
    <t>Monto</t>
  </si>
  <si>
    <t>Trabajo</t>
  </si>
  <si>
    <t>Ingresos febrero</t>
  </si>
  <si>
    <t>Gastos febrero</t>
  </si>
  <si>
    <t>Suma</t>
  </si>
  <si>
    <t>Ingresos marzo</t>
  </si>
  <si>
    <t>Gastos marzo</t>
  </si>
  <si>
    <t>Ingresos abril</t>
  </si>
  <si>
    <t>Gastos abril</t>
  </si>
  <si>
    <t>Ingresos mayo</t>
  </si>
  <si>
    <t>Gastos mayo</t>
  </si>
  <si>
    <t>Ingresos junio</t>
  </si>
  <si>
    <t>Gastos junio</t>
  </si>
  <si>
    <t>Ingresos julio</t>
  </si>
  <si>
    <t>Gastos julio</t>
  </si>
  <si>
    <t>Ingresos agosto</t>
  </si>
  <si>
    <t>Gastos agosto</t>
  </si>
  <si>
    <t>Ingresos septiembre</t>
  </si>
  <si>
    <t>Gastos septiembre</t>
  </si>
  <si>
    <t>Ingresos octubre</t>
  </si>
  <si>
    <t>Gastos octubre</t>
  </si>
  <si>
    <t>Ingresos noviembre</t>
  </si>
  <si>
    <t>Gastos noviembre</t>
  </si>
  <si>
    <t>Ingresos diciembre</t>
  </si>
  <si>
    <t>Gastos diciembre</t>
  </si>
  <si>
    <t>Bolsa</t>
  </si>
  <si>
    <t>Intereses y dividendos</t>
  </si>
  <si>
    <t>Extra</t>
  </si>
  <si>
    <t>Media de ingresos</t>
  </si>
  <si>
    <t>Media de gastos</t>
  </si>
  <si>
    <t>Mayor ingreso</t>
  </si>
  <si>
    <t>Mayor gasto</t>
  </si>
  <si>
    <t>Menor ingreso</t>
  </si>
  <si>
    <t>Menor gasto</t>
  </si>
  <si>
    <t>Paga extra Navidad</t>
  </si>
  <si>
    <t>Trabajo 1</t>
  </si>
  <si>
    <t>Hipoteca</t>
  </si>
  <si>
    <t>Cena amigos</t>
  </si>
  <si>
    <t>Comida del mes</t>
  </si>
  <si>
    <t>Comida</t>
  </si>
  <si>
    <t>Entrenamientos tenis</t>
  </si>
  <si>
    <t>Gimnasio</t>
  </si>
  <si>
    <t>Luz y teléfono</t>
  </si>
  <si>
    <t>Cervezas y juegos</t>
  </si>
  <si>
    <t>Ropa trabajo</t>
  </si>
  <si>
    <t>Seguro coche</t>
  </si>
  <si>
    <t>Paga extra Verano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</si>
</sst>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0\ &quot;€&quot;"/>
    <numFmt numFmtId="165" formatCode="&quot;$&quot;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rgb="FF8745EC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4"/>
      <color rgb="FF00B050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b/>
      <sz val="18"/>
      <color theme="0"/>
      <name val="Arial"/>
      <family val="2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45EC"/>
        <bgColor indexed="64"/>
      </patternFill>
    </fill>
    <fill>
      <patternFill patternType="solid">
        <fgColor rgb="FFF8F3FF"/>
        <bgColor indexed="64"/>
      </patternFill>
    </fill>
    <fill>
      <patternFill patternType="solid">
        <fgColor rgb="FF9999FF"/>
        <bgColor indexed="64"/>
      </patternFill>
    </fill>
  </fills>
  <borders count="17">
    <border>
      <left/>
      <right/>
      <top/>
      <bottom/>
      <diagonal/>
    </border>
    <border>
      <left style="thin">
        <color rgb="FF8E8FC8"/>
      </left>
      <right style="thin">
        <color rgb="FF8E8FC8"/>
      </right>
      <top style="thin">
        <color rgb="FF8E8FC8"/>
      </top>
      <bottom style="thin">
        <color rgb="FF8E8FC8"/>
      </bottom>
      <diagonal/>
    </border>
    <border>
      <left style="slantDashDot">
        <color theme="0" tint="-4.9989318521683403E-2"/>
      </left>
      <right style="slantDashDot">
        <color theme="0" tint="-4.9989318521683403E-2"/>
      </right>
      <top style="slantDashDot">
        <color theme="0" tint="-4.9989318521683403E-2"/>
      </top>
      <bottom style="slantDashDot">
        <color theme="0" tint="-4.9989318521683403E-2"/>
      </bottom>
      <diagonal/>
    </border>
    <border>
      <left/>
      <right style="thin">
        <color rgb="FF8E8FC8"/>
      </right>
      <top style="thin">
        <color rgb="FF8E8FC8"/>
      </top>
      <bottom style="thin">
        <color rgb="FF8E8FC8"/>
      </bottom>
      <diagonal/>
    </border>
    <border>
      <left style="thin">
        <color rgb="FF8E8FC8"/>
      </left>
      <right/>
      <top style="thin">
        <color rgb="FF8E8FC8"/>
      </top>
      <bottom style="thin">
        <color rgb="FF8E8FC8"/>
      </bottom>
      <diagonal/>
    </border>
    <border>
      <left/>
      <right style="thin">
        <color rgb="FF8E8FC8"/>
      </right>
      <top/>
      <bottom style="thin">
        <color rgb="FF8E8FC8"/>
      </bottom>
      <diagonal/>
    </border>
    <border>
      <left style="thin">
        <color rgb="FF8E8FC8"/>
      </left>
      <right style="thin">
        <color rgb="FF8E8FC8"/>
      </right>
      <top/>
      <bottom style="thin">
        <color rgb="FF8E8FC8"/>
      </bottom>
      <diagonal/>
    </border>
    <border>
      <left style="thin">
        <color rgb="FF8E8FC8"/>
      </left>
      <right/>
      <top/>
      <bottom style="thin">
        <color rgb="FF8E8FC8"/>
      </bottom>
      <diagonal/>
    </border>
    <border>
      <left style="thick">
        <color rgb="FF9999FF"/>
      </left>
      <right style="thick">
        <color rgb="FF9999FF"/>
      </right>
      <top style="thick">
        <color rgb="FF9999FF"/>
      </top>
      <bottom style="thick">
        <color rgb="FF9999FF"/>
      </bottom>
      <diagonal/>
    </border>
    <border>
      <left style="thick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/>
      <right style="slantDashDot">
        <color theme="0" tint="-4.9989318521683403E-2"/>
      </right>
      <top style="slantDashDot">
        <color theme="0" tint="-4.9989318521683403E-2"/>
      </top>
      <bottom style="slantDashDot">
        <color theme="0" tint="-4.9989318521683403E-2"/>
      </bottom>
      <diagonal/>
    </border>
    <border>
      <left style="thin">
        <color rgb="FF8E8FC8"/>
      </left>
      <right/>
      <top style="thin">
        <color rgb="FF8E8FC8"/>
      </top>
      <bottom/>
      <diagonal/>
    </border>
    <border>
      <left/>
      <right/>
      <top style="thin">
        <color rgb="FF8E8FC8"/>
      </top>
      <bottom/>
      <diagonal/>
    </border>
    <border>
      <left/>
      <right style="thin">
        <color rgb="FF8E8FC8"/>
      </right>
      <top style="thin">
        <color rgb="FF8E8FC8"/>
      </top>
      <bottom/>
      <diagonal/>
    </border>
    <border>
      <left/>
      <right/>
      <top/>
      <bottom style="thin">
        <color rgb="FF8E8FC8"/>
      </bottom>
      <diagonal/>
    </border>
    <border>
      <left/>
      <right/>
      <top style="thin">
        <color rgb="FF8E8FC8"/>
      </top>
      <bottom style="thin">
        <color rgb="FF8E8FC8"/>
      </bottom>
      <diagonal/>
    </border>
    <border>
      <left style="thin">
        <color rgb="FF8E8FC8"/>
      </left>
      <right style="thin">
        <color rgb="FF8E8FC8"/>
      </right>
      <top style="thin">
        <color rgb="FF8E8FC8"/>
      </top>
      <bottom/>
      <diagonal/>
    </border>
  </borders>
  <cellStyleXfs count="3">
    <xf numFmtId="0" fontId="0" fillId="0" borderId="0"/>
    <xf numFmtId="0" fontId="1" fillId="0" borderId="1">
      <alignment horizontal="center" vertical="center"/>
    </xf>
    <xf numFmtId="0" fontId="1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1" fillId="0" borderId="1" xfId="1" applyNumberForma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1" fillId="0" borderId="3" xfId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164" fontId="7" fillId="0" borderId="9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12" fillId="0" borderId="10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4" borderId="7" xfId="0" applyNumberFormat="1" applyFont="1" applyFill="1" applyBorder="1" applyAlignment="1">
      <alignment horizontal="center" vertical="center"/>
    </xf>
    <xf numFmtId="164" fontId="1" fillId="0" borderId="4" xfId="1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4" fontId="12" fillId="0" borderId="11" xfId="0" applyNumberFormat="1" applyFont="1" applyBorder="1" applyAlignment="1">
      <alignment horizontal="center" vertical="center"/>
    </xf>
    <xf numFmtId="164" fontId="12" fillId="0" borderId="12" xfId="0" applyNumberFormat="1" applyFont="1" applyBorder="1" applyAlignment="1">
      <alignment horizontal="center" vertical="center"/>
    </xf>
    <xf numFmtId="164" fontId="12" fillId="0" borderId="13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164" fontId="12" fillId="0" borderId="14" xfId="0" applyNumberFormat="1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</cellXfs>
  <cellStyles count="3">
    <cellStyle name="Estilo 2" xfId="1" xr:uid="{4715FBF5-E97E-4E45-9379-43E642FB57B9}"/>
    <cellStyle name="Normal" xfId="0" builtinId="0"/>
    <cellStyle name="Normal 2" xfId="2" xr:uid="{6CFFE719-3441-4775-A2EF-B8274D6C4BF8}"/>
  </cellStyles>
  <dxfs count="590">
    <dxf>
      <fill>
        <patternFill>
          <bgColor theme="7" tint="0.59996337778862885"/>
        </patternFill>
      </fill>
      <border>
        <left/>
        <right/>
        <top/>
        <bottom/>
      </border>
    </dxf>
    <dxf>
      <fill>
        <patternFill>
          <bgColor rgb="FFFFABAB"/>
        </patternFill>
      </fill>
      <border>
        <left/>
        <right/>
        <top/>
        <bottom/>
      </border>
    </dxf>
    <dxf>
      <fill>
        <patternFill>
          <bgColor rgb="FFCAE8AA"/>
        </patternFill>
      </fill>
      <border>
        <left/>
        <right/>
        <top/>
        <bottom/>
      </border>
    </dxf>
    <dxf>
      <numFmt numFmtId="164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#,##0.0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8E8FC8"/>
        </left>
        <right/>
        <top style="thin">
          <color rgb="FF8E8FC8"/>
        </top>
        <bottom style="thin">
          <color rgb="FF8E8FC8"/>
        </bottom>
        <vertical/>
        <horizontal/>
      </border>
    </dxf>
    <dxf>
      <numFmt numFmtId="164" formatCode="#,##0.0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8E8FC8"/>
        </right>
        <top style="thin">
          <color rgb="FF8E8FC8"/>
        </top>
        <bottom style="thin">
          <color rgb="FF8E8FC8"/>
        </bottom>
        <vertical/>
        <horizontal/>
      </border>
    </dxf>
    <dxf>
      <border outline="0">
        <right style="thin">
          <color rgb="FF8E8FC8"/>
        </right>
      </border>
    </dxf>
    <dxf>
      <border outline="0">
        <bottom style="thin">
          <color rgb="FF8E8FC8"/>
        </bottom>
      </border>
    </dxf>
    <dxf>
      <font>
        <b/>
      </font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numFmt numFmtId="164" formatCode="#,##0.00\ &quot;€&quot;"/>
      <alignment wrapText="1"/>
    </dxf>
    <dxf>
      <numFmt numFmtId="164" formatCode="#,##0.00\ &quot;€&quot;"/>
      <alignment wrapText="1"/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164" formatCode="#,##0.00\ &quot;€&quot;"/>
    </dxf>
    <dxf>
      <numFmt numFmtId="164" formatCode="#,##0.00\ &quot;€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#,##0.0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8E8FC8"/>
        </left>
        <right/>
        <top style="thin">
          <color rgb="FF8E8FC8"/>
        </top>
        <bottom style="thin">
          <color rgb="FF8E8FC8"/>
        </bottom>
        <vertical/>
        <horizontal/>
      </border>
    </dxf>
    <dxf>
      <numFmt numFmtId="164" formatCode="#,##0.0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8E8FC8"/>
        </right>
        <top style="thin">
          <color rgb="FF8E8FC8"/>
        </top>
        <bottom style="thin">
          <color rgb="FF8E8FC8"/>
        </bottom>
        <vertical/>
        <horizontal/>
      </border>
    </dxf>
    <dxf>
      <border outline="0">
        <right style="thin">
          <color rgb="FF8E8FC8"/>
        </right>
      </border>
    </dxf>
    <dxf>
      <border outline="0">
        <bottom style="thin">
          <color rgb="FF8E8FC8"/>
        </bottom>
      </border>
    </dxf>
    <dxf>
      <font>
        <b/>
      </font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numFmt numFmtId="164" formatCode="#,##0.00\ &quot;€&quot;"/>
      <alignment wrapText="1"/>
    </dxf>
    <dxf>
      <numFmt numFmtId="164" formatCode="#,##0.00\ &quot;€&quot;"/>
      <alignment wrapText="1"/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164" formatCode="#,##0.00\ &quot;€&quot;"/>
    </dxf>
    <dxf>
      <numFmt numFmtId="164" formatCode="#,##0.00\ &quot;€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#,##0.0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8E8FC8"/>
        </left>
        <right/>
        <top style="thin">
          <color rgb="FF8E8FC8"/>
        </top>
        <bottom style="thin">
          <color rgb="FF8E8FC8"/>
        </bottom>
        <vertical/>
        <horizontal/>
      </border>
    </dxf>
    <dxf>
      <numFmt numFmtId="164" formatCode="#,##0.0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8E8FC8"/>
        </right>
        <top style="thin">
          <color rgb="FF8E8FC8"/>
        </top>
        <bottom style="thin">
          <color rgb="FF8E8FC8"/>
        </bottom>
        <vertical/>
        <horizontal/>
      </border>
    </dxf>
    <dxf>
      <border outline="0">
        <right style="thin">
          <color rgb="FF8E8FC8"/>
        </right>
      </border>
    </dxf>
    <dxf>
      <border outline="0">
        <bottom style="thin">
          <color rgb="FF8E8FC8"/>
        </bottom>
      </border>
    </dxf>
    <dxf>
      <font>
        <b/>
      </font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numFmt numFmtId="164" formatCode="#,##0.00\ &quot;€&quot;"/>
      <alignment wrapText="1"/>
    </dxf>
    <dxf>
      <numFmt numFmtId="164" formatCode="#,##0.00\ &quot;€&quot;"/>
      <alignment wrapText="1"/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164" formatCode="#,##0.00\ &quot;€&quot;"/>
    </dxf>
    <dxf>
      <numFmt numFmtId="164" formatCode="#,##0.00\ &quot;€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#,##0.0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8E8FC8"/>
        </left>
        <right/>
        <top style="thin">
          <color rgb="FF8E8FC8"/>
        </top>
        <bottom style="thin">
          <color rgb="FF8E8FC8"/>
        </bottom>
        <vertical/>
        <horizontal/>
      </border>
    </dxf>
    <dxf>
      <numFmt numFmtId="164" formatCode="#,##0.0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8E8FC8"/>
        </right>
        <top style="thin">
          <color rgb="FF8E8FC8"/>
        </top>
        <bottom style="thin">
          <color rgb="FF8E8FC8"/>
        </bottom>
        <vertical/>
        <horizontal/>
      </border>
    </dxf>
    <dxf>
      <border outline="0">
        <right style="thin">
          <color rgb="FF8E8FC8"/>
        </right>
      </border>
    </dxf>
    <dxf>
      <border outline="0">
        <bottom style="thin">
          <color rgb="FF8E8FC8"/>
        </bottom>
      </border>
    </dxf>
    <dxf>
      <font>
        <b/>
      </font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numFmt numFmtId="164" formatCode="#,##0.00\ &quot;€&quot;"/>
      <alignment wrapText="1"/>
    </dxf>
    <dxf>
      <numFmt numFmtId="164" formatCode="#,##0.00\ &quot;€&quot;"/>
      <alignment wrapText="1"/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164" formatCode="#,##0.00\ &quot;€&quot;"/>
    </dxf>
    <dxf>
      <numFmt numFmtId="164" formatCode="#,##0.00\ &quot;€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#,##0.0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8E8FC8"/>
        </left>
        <right/>
        <top style="thin">
          <color rgb="FF8E8FC8"/>
        </top>
        <bottom style="thin">
          <color rgb="FF8E8FC8"/>
        </bottom>
        <vertical/>
        <horizontal/>
      </border>
    </dxf>
    <dxf>
      <numFmt numFmtId="164" formatCode="#,##0.0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8E8FC8"/>
        </right>
        <top style="thin">
          <color rgb="FF8E8FC8"/>
        </top>
        <bottom style="thin">
          <color rgb="FF8E8FC8"/>
        </bottom>
        <vertical/>
        <horizontal/>
      </border>
    </dxf>
    <dxf>
      <border outline="0">
        <right style="thin">
          <color rgb="FF8E8FC8"/>
        </right>
      </border>
    </dxf>
    <dxf>
      <border outline="0">
        <bottom style="thin">
          <color rgb="FF8E8FC8"/>
        </bottom>
      </border>
    </dxf>
    <dxf>
      <font>
        <b/>
      </font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numFmt numFmtId="164" formatCode="#,##0.00\ &quot;€&quot;"/>
      <alignment wrapText="1"/>
    </dxf>
    <dxf>
      <numFmt numFmtId="164" formatCode="#,##0.00\ &quot;€&quot;"/>
      <alignment wrapText="1"/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164" formatCode="#,##0.00\ &quot;€&quot;"/>
    </dxf>
    <dxf>
      <numFmt numFmtId="164" formatCode="#,##0.00\ &quot;€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#,##0.0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8E8FC8"/>
        </left>
        <right/>
        <top style="thin">
          <color rgb="FF8E8FC8"/>
        </top>
        <bottom style="thin">
          <color rgb="FF8E8FC8"/>
        </bottom>
        <vertical/>
        <horizontal/>
      </border>
    </dxf>
    <dxf>
      <numFmt numFmtId="164" formatCode="#,##0.0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8E8FC8"/>
        </right>
        <top style="thin">
          <color rgb="FF8E8FC8"/>
        </top>
        <bottom style="thin">
          <color rgb="FF8E8FC8"/>
        </bottom>
        <vertical/>
        <horizontal/>
      </border>
    </dxf>
    <dxf>
      <border outline="0">
        <right style="thin">
          <color rgb="FF8E8FC8"/>
        </right>
      </border>
    </dxf>
    <dxf>
      <border outline="0">
        <bottom style="thin">
          <color rgb="FF8E8FC8"/>
        </bottom>
      </border>
    </dxf>
    <dxf>
      <font>
        <b/>
      </font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numFmt numFmtId="164" formatCode="#,##0.00\ &quot;€&quot;"/>
      <alignment wrapText="1"/>
    </dxf>
    <dxf>
      <numFmt numFmtId="164" formatCode="#,##0.00\ &quot;€&quot;"/>
      <alignment wrapText="1"/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164" formatCode="#,##0.00\ &quot;€&quot;"/>
    </dxf>
    <dxf>
      <numFmt numFmtId="164" formatCode="#,##0.00\ &quot;€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#,##0.0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8E8FC8"/>
        </left>
        <right/>
        <top style="thin">
          <color rgb="FF8E8FC8"/>
        </top>
        <bottom style="thin">
          <color rgb="FF8E8FC8"/>
        </bottom>
        <vertical/>
        <horizontal/>
      </border>
    </dxf>
    <dxf>
      <numFmt numFmtId="164" formatCode="#,##0.0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8E8FC8"/>
        </right>
        <top style="thin">
          <color rgb="FF8E8FC8"/>
        </top>
        <bottom style="thin">
          <color rgb="FF8E8FC8"/>
        </bottom>
        <vertical/>
        <horizontal/>
      </border>
    </dxf>
    <dxf>
      <border outline="0">
        <right style="thin">
          <color rgb="FF8E8FC8"/>
        </right>
      </border>
    </dxf>
    <dxf>
      <border outline="0">
        <bottom style="thin">
          <color rgb="FF8E8FC8"/>
        </bottom>
      </border>
    </dxf>
    <dxf>
      <font>
        <b/>
      </font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numFmt numFmtId="164" formatCode="#,##0.00\ &quot;€&quot;"/>
      <alignment wrapText="1"/>
    </dxf>
    <dxf>
      <numFmt numFmtId="164" formatCode="#,##0.00\ &quot;€&quot;"/>
      <alignment wrapText="1"/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164" formatCode="#,##0.00\ &quot;€&quot;"/>
    </dxf>
    <dxf>
      <numFmt numFmtId="164" formatCode="#,##0.00\ &quot;€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#,##0.0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8E8FC8"/>
        </left>
        <right/>
        <top style="thin">
          <color rgb="FF8E8FC8"/>
        </top>
        <bottom style="thin">
          <color rgb="FF8E8FC8"/>
        </bottom>
        <vertical/>
        <horizontal/>
      </border>
    </dxf>
    <dxf>
      <numFmt numFmtId="164" formatCode="#,##0.0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8E8FC8"/>
        </right>
        <top style="thin">
          <color rgb="FF8E8FC8"/>
        </top>
        <bottom style="thin">
          <color rgb="FF8E8FC8"/>
        </bottom>
        <vertical/>
        <horizontal/>
      </border>
    </dxf>
    <dxf>
      <border outline="0">
        <right style="thin">
          <color rgb="FF8E8FC8"/>
        </right>
      </border>
    </dxf>
    <dxf>
      <border outline="0">
        <bottom style="thin">
          <color rgb="FF8E8FC8"/>
        </bottom>
      </border>
    </dxf>
    <dxf>
      <font>
        <b/>
      </font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numFmt numFmtId="164" formatCode="#,##0.00\ &quot;€&quot;"/>
      <alignment wrapText="1"/>
    </dxf>
    <dxf>
      <numFmt numFmtId="164" formatCode="#,##0.00\ &quot;€&quot;"/>
      <alignment wrapText="1"/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164" formatCode="#,##0.00\ &quot;€&quot;"/>
    </dxf>
    <dxf>
      <numFmt numFmtId="164" formatCode="#,##0.00\ &quot;€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#,##0.0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8E8FC8"/>
        </left>
        <right/>
        <top style="thin">
          <color rgb="FF8E8FC8"/>
        </top>
        <bottom style="thin">
          <color rgb="FF8E8FC8"/>
        </bottom>
        <vertical/>
        <horizontal/>
      </border>
    </dxf>
    <dxf>
      <numFmt numFmtId="164" formatCode="#,##0.0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8E8FC8"/>
        </right>
        <top style="thin">
          <color rgb="FF8E8FC8"/>
        </top>
        <bottom style="thin">
          <color rgb="FF8E8FC8"/>
        </bottom>
        <vertical/>
        <horizontal/>
      </border>
    </dxf>
    <dxf>
      <border outline="0">
        <right style="thin">
          <color rgb="FF8E8FC8"/>
        </right>
      </border>
    </dxf>
    <dxf>
      <border outline="0">
        <bottom style="thin">
          <color rgb="FF8E8FC8"/>
        </bottom>
      </border>
    </dxf>
    <dxf>
      <font>
        <b/>
      </font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numFmt numFmtId="164" formatCode="#,##0.00\ &quot;€&quot;"/>
      <alignment wrapText="1"/>
    </dxf>
    <dxf>
      <numFmt numFmtId="164" formatCode="#,##0.00\ &quot;€&quot;"/>
      <alignment wrapText="1"/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164" formatCode="#,##0.00\ &quot;€&quot;"/>
    </dxf>
    <dxf>
      <numFmt numFmtId="164" formatCode="#,##0.00\ &quot;€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#,##0.0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8E8FC8"/>
        </left>
        <right/>
        <top style="thin">
          <color rgb="FF8E8FC8"/>
        </top>
        <bottom style="thin">
          <color rgb="FF8E8FC8"/>
        </bottom>
        <vertical/>
        <horizontal/>
      </border>
    </dxf>
    <dxf>
      <numFmt numFmtId="164" formatCode="#,##0.0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8E8FC8"/>
        </right>
        <top style="thin">
          <color rgb="FF8E8FC8"/>
        </top>
        <bottom style="thin">
          <color rgb="FF8E8FC8"/>
        </bottom>
        <vertical/>
        <horizontal/>
      </border>
    </dxf>
    <dxf>
      <border outline="0">
        <right style="thin">
          <color rgb="FF8E8FC8"/>
        </right>
      </border>
    </dxf>
    <dxf>
      <border outline="0">
        <bottom style="thin">
          <color rgb="FF8E8FC8"/>
        </bottom>
      </border>
    </dxf>
    <dxf>
      <font>
        <b/>
      </font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numFmt numFmtId="164" formatCode="#,##0.00\ &quot;€&quot;"/>
      <alignment wrapText="1"/>
    </dxf>
    <dxf>
      <numFmt numFmtId="164" formatCode="#,##0.00\ &quot;€&quot;"/>
      <alignment wrapText="1"/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164" formatCode="#,##0.00\ &quot;€&quot;"/>
    </dxf>
    <dxf>
      <numFmt numFmtId="164" formatCode="#,##0.00\ &quot;€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#,##0.0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8E8FC8"/>
        </left>
        <right/>
        <top style="thin">
          <color rgb="FF8E8FC8"/>
        </top>
        <bottom style="thin">
          <color rgb="FF8E8FC8"/>
        </bottom>
      </border>
    </dxf>
    <dxf>
      <numFmt numFmtId="164" formatCode="#,##0.0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outline="0">
        <right style="thin">
          <color rgb="FF8E8FC8"/>
        </right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8E8FC8"/>
        </right>
        <top style="thin">
          <color rgb="FF8E8FC8"/>
        </top>
        <bottom style="thin">
          <color rgb="FF8E8FC8"/>
        </bottom>
        <vertical/>
        <horizontal/>
      </border>
    </dxf>
    <dxf>
      <border outline="0">
        <right style="thin">
          <color rgb="FF8E8FC8"/>
        </right>
      </border>
    </dxf>
    <dxf>
      <border outline="0">
        <bottom style="thin">
          <color rgb="FF8E8FC8"/>
        </bottom>
      </border>
    </dxf>
    <dxf>
      <font>
        <b/>
      </font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numFmt numFmtId="164" formatCode="#,##0.00\ &quot;€&quot;"/>
      <alignment wrapText="1"/>
    </dxf>
    <dxf>
      <numFmt numFmtId="164" formatCode="#,##0.00\ &quot;€&quot;"/>
      <alignment wrapText="1"/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fill>
        <patternFill>
          <bgColor rgb="FF8E8FC8"/>
        </patternFill>
      </fill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164" formatCode="#,##0.00\ &quot;€&quot;"/>
    </dxf>
    <dxf>
      <numFmt numFmtId="164" formatCode="#,##0.00\ &quot;€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#,##0.00\ &quot;€&quot;"/>
      <alignment horizontal="center" vertical="center" textRotation="0" wrapText="0" indent="0" justifyLastLine="0" shrinkToFit="0" readingOrder="0"/>
    </dxf>
    <dxf>
      <numFmt numFmtId="164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</border>
    </dxf>
    <dxf>
      <border outline="0">
        <bottom style="thin">
          <color rgb="FF8E8FC8"/>
        </bottom>
      </border>
    </dxf>
    <dxf>
      <font>
        <b/>
      </font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numFmt numFmtId="164" formatCode="#,##0.00\ &quot;€&quot;"/>
    </dxf>
    <dxf>
      <alignment horizontal="center"/>
    </dxf>
    <dxf>
      <alignment vertical="center"/>
    </dxf>
    <dxf>
      <alignment horizontal="center"/>
    </dxf>
    <dxf>
      <alignment vertical="center"/>
    </dxf>
    <dxf>
      <numFmt numFmtId="164" formatCode="#,##0.00\ &quot;€&quot;"/>
    </dxf>
    <dxf>
      <font>
        <b/>
        <i val="0"/>
        <color theme="0"/>
      </font>
      <fill>
        <patternFill>
          <bgColor rgb="FF9999FF"/>
        </patternFill>
      </fill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fill>
        <patternFill patternType="none">
          <bgColor auto="1"/>
        </patternFill>
      </fill>
      <border diagonalUp="0" diagonalDown="0"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font>
        <b/>
        <i val="0"/>
        <color theme="0"/>
      </font>
      <fill>
        <patternFill patternType="solid">
          <bgColor rgb="FF9999FF"/>
        </patternFill>
      </fill>
    </dxf>
    <dxf>
      <font>
        <b/>
        <i val="0"/>
        <color theme="0"/>
      </font>
      <fill>
        <patternFill patternType="solid">
          <fgColor rgb="FF8E8FC8"/>
          <bgColor rgb="FF9999FF"/>
        </patternFill>
      </fill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  <dxf>
      <border>
        <left style="thin">
          <color rgb="FF8E8FC8"/>
        </left>
        <right style="thin">
          <color rgb="FF8E8FC8"/>
        </right>
        <top style="thin">
          <color rgb="FF8E8FC8"/>
        </top>
        <bottom style="thin">
          <color rgb="FF8E8FC8"/>
        </bottom>
        <vertical style="thin">
          <color rgb="FF8E8FC8"/>
        </vertical>
        <horizontal style="thin">
          <color rgb="FF8E8FC8"/>
        </horizontal>
      </border>
    </dxf>
  </dxfs>
  <tableStyles count="2" defaultTableStyle="TableStyleMedium2" defaultPivotStyle="Tabla morada">
    <tableStyle name="Tabla morada" table="0" count="3" xr9:uid="{8C26438C-F269-44C3-941A-AE76B3B752C4}">
      <tableStyleElement type="wholeTable" dxfId="589"/>
      <tableStyleElement type="headerRow" dxfId="588"/>
      <tableStyleElement type="totalRow" dxfId="587"/>
    </tableStyle>
    <tableStyle name="Table Style 1" pivot="0" count="2" xr9:uid="{0B346CEA-D4FE-44C8-9656-CAC4DB78E089}">
      <tableStyleElement type="wholeTable" dxfId="586"/>
      <tableStyleElement type="headerRow" dxfId="585"/>
    </tableStyle>
  </tableStyles>
  <colors>
    <mruColors>
      <color rgb="FF9999FF"/>
      <color rgb="FF8E8FC8"/>
      <color rgb="FF6666FF"/>
      <color rgb="FFFF3300"/>
      <color rgb="FFCCCCFF"/>
      <color rgb="FF4166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pivotCacheDefinition" Target="pivotCache/pivotCacheDefinition1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10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9.xml"/><Relationship Id="rId27" Type="http://schemas.openxmlformats.org/officeDocument/2006/relationships/connections" Target="connection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Ingresos y 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'Resumen anual'!$B$5</c:f>
              <c:strCache>
                <c:ptCount val="1"/>
                <c:pt idx="0">
                  <c:v>Ingresos</c:v>
                </c:pt>
              </c:strCache>
            </c:strRef>
          </c:tx>
          <c:spPr>
            <a:ln w="28575" cap="rnd">
              <a:solidFill>
                <a:srgbClr val="00B050">
                  <a:alpha val="7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>
                  <a:alpha val="81000"/>
                </a:srgbClr>
              </a:solidFill>
              <a:ln w="9525">
                <a:solidFill>
                  <a:srgbClr val="00B050">
                    <a:alpha val="72000"/>
                  </a:srgbClr>
                </a:solidFill>
              </a:ln>
              <a:effectLst/>
            </c:spPr>
          </c:marker>
          <c:cat>
            <c:strRef>
              <c:f>'Resumen anual'!$C$4:$N$4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'Resumen anual'!$C$5:$N$5</c:f>
              <c:numCache>
                <c:formatCode>#,##0.00\ "€"</c:formatCode>
                <c:ptCount val="12"/>
                <c:pt idx="0">
                  <c:v>2271</c:v>
                </c:pt>
                <c:pt idx="1">
                  <c:v>2077</c:v>
                </c:pt>
                <c:pt idx="2">
                  <c:v>2010</c:v>
                </c:pt>
                <c:pt idx="3">
                  <c:v>2275</c:v>
                </c:pt>
                <c:pt idx="4">
                  <c:v>1850</c:v>
                </c:pt>
                <c:pt idx="5">
                  <c:v>2147</c:v>
                </c:pt>
                <c:pt idx="6">
                  <c:v>2550</c:v>
                </c:pt>
                <c:pt idx="7">
                  <c:v>2095</c:v>
                </c:pt>
                <c:pt idx="8">
                  <c:v>1625</c:v>
                </c:pt>
                <c:pt idx="9">
                  <c:v>1973</c:v>
                </c:pt>
                <c:pt idx="10">
                  <c:v>2130</c:v>
                </c:pt>
                <c:pt idx="11">
                  <c:v>1829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C-4142-B5FB-6108EF6FFADC}"/>
            </c:ext>
          </c:extLst>
        </c:ser>
        <c:ser>
          <c:idx val="1"/>
          <c:order val="1"/>
          <c:tx>
            <c:strRef>
              <c:f>'Resumen anual'!$B$6</c:f>
              <c:strCache>
                <c:ptCount val="1"/>
                <c:pt idx="0">
                  <c:v>Gastos</c:v>
                </c:pt>
              </c:strCache>
            </c:strRef>
          </c:tx>
          <c:spPr>
            <a:ln w="28575" cap="rnd">
              <a:solidFill>
                <a:srgbClr val="FF0000">
                  <a:alpha val="54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>
                  <a:alpha val="74000"/>
                </a:srgb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'Resumen anual'!$C$4:$N$4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'Resumen anual'!$C$6:$N$6</c:f>
              <c:numCache>
                <c:formatCode>#,##0.00\ "€"</c:formatCode>
                <c:ptCount val="12"/>
                <c:pt idx="0">
                  <c:v>1915</c:v>
                </c:pt>
                <c:pt idx="1">
                  <c:v>1943</c:v>
                </c:pt>
                <c:pt idx="2">
                  <c:v>1754</c:v>
                </c:pt>
                <c:pt idx="3">
                  <c:v>2505</c:v>
                </c:pt>
                <c:pt idx="4">
                  <c:v>1740</c:v>
                </c:pt>
                <c:pt idx="5">
                  <c:v>1915</c:v>
                </c:pt>
                <c:pt idx="6">
                  <c:v>1925</c:v>
                </c:pt>
                <c:pt idx="7">
                  <c:v>1805</c:v>
                </c:pt>
                <c:pt idx="8">
                  <c:v>1715</c:v>
                </c:pt>
                <c:pt idx="9">
                  <c:v>1810</c:v>
                </c:pt>
                <c:pt idx="10">
                  <c:v>1893</c:v>
                </c:pt>
                <c:pt idx="11">
                  <c:v>1718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C-4142-B5FB-6108EF6FF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178671"/>
        <c:axId val="135188271"/>
      </c:lineChart>
      <c:catAx>
        <c:axId val="13517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5188271"/>
        <c:crosses val="autoZero"/>
        <c:auto val="1"/>
        <c:lblAlgn val="ctr"/>
        <c:lblOffset val="100"/>
        <c:noMultiLvlLbl val="0"/>
      </c:catAx>
      <c:valAx>
        <c:axId val="1351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517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Tendencia de ahorro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B050">
                  <a:alpha val="4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>
                  <a:alpha val="50000"/>
                </a:srgbClr>
              </a:solidFill>
              <a:ln w="9525">
                <a:solidFill>
                  <a:srgbClr val="00B050">
                    <a:alpha val="50000"/>
                  </a:srgb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8E8FC8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'Resumen anual'!$C$4:$N$4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'Resumen anual'!$C$8:$N$8</c:f>
              <c:numCache>
                <c:formatCode>#,##0.00\ "€"</c:formatCode>
                <c:ptCount val="12"/>
                <c:pt idx="0">
                  <c:v>356</c:v>
                </c:pt>
                <c:pt idx="1">
                  <c:v>134</c:v>
                </c:pt>
                <c:pt idx="2">
                  <c:v>256</c:v>
                </c:pt>
                <c:pt idx="3">
                  <c:v>-230</c:v>
                </c:pt>
                <c:pt idx="4">
                  <c:v>110</c:v>
                </c:pt>
                <c:pt idx="5">
                  <c:v>232</c:v>
                </c:pt>
                <c:pt idx="6">
                  <c:v>625</c:v>
                </c:pt>
                <c:pt idx="7">
                  <c:v>290</c:v>
                </c:pt>
                <c:pt idx="8">
                  <c:v>-90</c:v>
                </c:pt>
                <c:pt idx="9">
                  <c:v>163</c:v>
                </c:pt>
                <c:pt idx="10">
                  <c:v>237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C3-4431-93D8-CF663DA38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039183"/>
        <c:axId val="86038223"/>
      </c:lineChart>
      <c:catAx>
        <c:axId val="860391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6038223"/>
        <c:crosses val="autoZero"/>
        <c:auto val="1"/>
        <c:lblAlgn val="ctr"/>
        <c:lblOffset val="100"/>
        <c:noMultiLvlLbl val="0"/>
      </c:catAx>
      <c:valAx>
        <c:axId val="8603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03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[balance_económico.xlsx]Enero!gastos_enero_por_categoria</c:name>
    <c:fmtId val="69"/>
  </c:pivotSource>
  <c:chart>
    <c:autoTitleDeleted val="1"/>
    <c:pivotFmts>
      <c:pivotFmt>
        <c:idx val="0"/>
        <c:spPr>
          <a:solidFill>
            <a:srgbClr val="9999FF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Enero!$M$4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99FF">
                <a:alpha val="5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Enero!$L$5:$L$11</c:f>
              <c:strCache>
                <c:ptCount val="6"/>
                <c:pt idx="0">
                  <c:v>Transporte</c:v>
                </c:pt>
                <c:pt idx="1">
                  <c:v>Ropa</c:v>
                </c:pt>
                <c:pt idx="2">
                  <c:v>Ocio</c:v>
                </c:pt>
                <c:pt idx="3">
                  <c:v>Deporte</c:v>
                </c:pt>
                <c:pt idx="4">
                  <c:v>Comida</c:v>
                </c:pt>
                <c:pt idx="5">
                  <c:v>Casa</c:v>
                </c:pt>
              </c:strCache>
            </c:strRef>
          </c:cat>
          <c:val>
            <c:numRef>
              <c:f>Enero!$M$5:$M$11</c:f>
              <c:numCache>
                <c:formatCode>#,##0.00\ "€"</c:formatCode>
                <c:ptCount val="6"/>
                <c:pt idx="0">
                  <c:v>300</c:v>
                </c:pt>
                <c:pt idx="1">
                  <c:v>150</c:v>
                </c:pt>
                <c:pt idx="2">
                  <c:v>170</c:v>
                </c:pt>
                <c:pt idx="3">
                  <c:v>145</c:v>
                </c:pt>
                <c:pt idx="4">
                  <c:v>300</c:v>
                </c:pt>
                <c:pt idx="5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8-47B3-A3B8-B590C85622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64490543"/>
        <c:axId val="564495343"/>
      </c:barChart>
      <c:catAx>
        <c:axId val="564490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4495343"/>
        <c:crosses val="autoZero"/>
        <c:auto val="1"/>
        <c:lblAlgn val="ctr"/>
        <c:lblOffset val="100"/>
        <c:noMultiLvlLbl val="0"/>
      </c:catAx>
      <c:valAx>
        <c:axId val="564495343"/>
        <c:scaling>
          <c:orientation val="minMax"/>
        </c:scaling>
        <c:delete val="1"/>
        <c:axPos val="b"/>
        <c:numFmt formatCode="#,##0.00\ &quot;€&quot;" sourceLinked="1"/>
        <c:majorTickMark val="none"/>
        <c:minorTickMark val="none"/>
        <c:tickLblPos val="nextTo"/>
        <c:crossAx val="56449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[balance_económico.xlsx]Febrero!gastos_febrero_por_categoria</c:name>
    <c:fmtId val="52"/>
  </c:pivotSource>
  <c:chart>
    <c:autoTitleDeleted val="1"/>
    <c:pivotFmts>
      <c:pivotFmt>
        <c:idx val="0"/>
        <c:spPr>
          <a:solidFill>
            <a:srgbClr val="9999FF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999FF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Febrero!$M$4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99FF">
                <a:alpha val="5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Febrero!$L$5:$L$11</c:f>
              <c:strCache>
                <c:ptCount val="6"/>
                <c:pt idx="0">
                  <c:v>Transporte</c:v>
                </c:pt>
                <c:pt idx="1">
                  <c:v>Ropa</c:v>
                </c:pt>
                <c:pt idx="2">
                  <c:v>Ocio</c:v>
                </c:pt>
                <c:pt idx="3">
                  <c:v>Deporte</c:v>
                </c:pt>
                <c:pt idx="4">
                  <c:v>Comida</c:v>
                </c:pt>
                <c:pt idx="5">
                  <c:v>Casa</c:v>
                </c:pt>
              </c:strCache>
            </c:strRef>
          </c:cat>
          <c:val>
            <c:numRef>
              <c:f>Febrero!$M$5:$M$11</c:f>
              <c:numCache>
                <c:formatCode>#,##0.00\ "€"</c:formatCode>
                <c:ptCount val="6"/>
                <c:pt idx="0">
                  <c:v>250</c:v>
                </c:pt>
                <c:pt idx="1">
                  <c:v>120</c:v>
                </c:pt>
                <c:pt idx="2">
                  <c:v>208</c:v>
                </c:pt>
                <c:pt idx="3">
                  <c:v>145</c:v>
                </c:pt>
                <c:pt idx="4">
                  <c:v>350</c:v>
                </c:pt>
                <c:pt idx="5">
                  <c:v>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8-47B3-A3B8-B590C85622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64490543"/>
        <c:axId val="564495343"/>
      </c:barChart>
      <c:catAx>
        <c:axId val="564490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4495343"/>
        <c:crosses val="autoZero"/>
        <c:auto val="1"/>
        <c:lblAlgn val="ctr"/>
        <c:lblOffset val="100"/>
        <c:noMultiLvlLbl val="0"/>
      </c:catAx>
      <c:valAx>
        <c:axId val="564495343"/>
        <c:scaling>
          <c:orientation val="minMax"/>
        </c:scaling>
        <c:delete val="1"/>
        <c:axPos val="b"/>
        <c:numFmt formatCode="#,##0.00\ &quot;€&quot;" sourceLinked="1"/>
        <c:majorTickMark val="none"/>
        <c:minorTickMark val="none"/>
        <c:tickLblPos val="nextTo"/>
        <c:crossAx val="56449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[balance_económico.xlsx]Marzo!gastos_marzo_por_categoria</c:name>
    <c:fmtId val="46"/>
  </c:pivotSource>
  <c:chart>
    <c:autoTitleDeleted val="1"/>
    <c:pivotFmts>
      <c:pivotFmt>
        <c:idx val="0"/>
        <c:spPr>
          <a:solidFill>
            <a:srgbClr val="9999FF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999FF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Marzo!$M$4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99FF">
                <a:alpha val="5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Marzo!$L$5:$L$10</c:f>
              <c:strCache>
                <c:ptCount val="5"/>
                <c:pt idx="0">
                  <c:v>Transporte</c:v>
                </c:pt>
                <c:pt idx="1">
                  <c:v>Ocio</c:v>
                </c:pt>
                <c:pt idx="2">
                  <c:v>Deporte</c:v>
                </c:pt>
                <c:pt idx="3">
                  <c:v>Comida</c:v>
                </c:pt>
                <c:pt idx="4">
                  <c:v>Casa</c:v>
                </c:pt>
              </c:strCache>
            </c:strRef>
          </c:cat>
          <c:val>
            <c:numRef>
              <c:f>Marzo!$M$5:$M$10</c:f>
              <c:numCache>
                <c:formatCode>#,##0.00\ "€"</c:formatCode>
                <c:ptCount val="5"/>
                <c:pt idx="0">
                  <c:v>200</c:v>
                </c:pt>
                <c:pt idx="1">
                  <c:v>230</c:v>
                </c:pt>
                <c:pt idx="2">
                  <c:v>145</c:v>
                </c:pt>
                <c:pt idx="3">
                  <c:v>340</c:v>
                </c:pt>
                <c:pt idx="4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8-47B3-A3B8-B590C85622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64490543"/>
        <c:axId val="564495343"/>
      </c:barChart>
      <c:catAx>
        <c:axId val="564490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4495343"/>
        <c:crosses val="autoZero"/>
        <c:auto val="1"/>
        <c:lblAlgn val="ctr"/>
        <c:lblOffset val="100"/>
        <c:noMultiLvlLbl val="0"/>
      </c:catAx>
      <c:valAx>
        <c:axId val="564495343"/>
        <c:scaling>
          <c:orientation val="minMax"/>
        </c:scaling>
        <c:delete val="1"/>
        <c:axPos val="b"/>
        <c:numFmt formatCode="#,##0.00\ &quot;€&quot;" sourceLinked="1"/>
        <c:majorTickMark val="none"/>
        <c:minorTickMark val="none"/>
        <c:tickLblPos val="nextTo"/>
        <c:crossAx val="56449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[balance_económico.xlsx]Abril!gastos_abril_por_categoria</c:name>
    <c:fmtId val="46"/>
  </c:pivotSource>
  <c:chart>
    <c:autoTitleDeleted val="1"/>
    <c:pivotFmts>
      <c:pivotFmt>
        <c:idx val="0"/>
        <c:spPr>
          <a:solidFill>
            <a:srgbClr val="9999FF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999FF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Abril!$M$4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99FF">
                <a:alpha val="5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Abril!$L$5:$L$11</c:f>
              <c:strCache>
                <c:ptCount val="6"/>
                <c:pt idx="0">
                  <c:v>Transporte</c:v>
                </c:pt>
                <c:pt idx="1">
                  <c:v>Ropa</c:v>
                </c:pt>
                <c:pt idx="2">
                  <c:v>Ocio</c:v>
                </c:pt>
                <c:pt idx="3">
                  <c:v>Deporte</c:v>
                </c:pt>
                <c:pt idx="4">
                  <c:v>Comida</c:v>
                </c:pt>
                <c:pt idx="5">
                  <c:v>Casa</c:v>
                </c:pt>
              </c:strCache>
            </c:strRef>
          </c:cat>
          <c:val>
            <c:numRef>
              <c:f>Abril!$M$5:$M$11</c:f>
              <c:numCache>
                <c:formatCode>#,##0.00\ "€"</c:formatCode>
                <c:ptCount val="6"/>
                <c:pt idx="0">
                  <c:v>900</c:v>
                </c:pt>
                <c:pt idx="1">
                  <c:v>150</c:v>
                </c:pt>
                <c:pt idx="2">
                  <c:v>180</c:v>
                </c:pt>
                <c:pt idx="3">
                  <c:v>145</c:v>
                </c:pt>
                <c:pt idx="4">
                  <c:v>280</c:v>
                </c:pt>
                <c:pt idx="5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8-47B3-A3B8-B590C85622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64490543"/>
        <c:axId val="564495343"/>
      </c:barChart>
      <c:catAx>
        <c:axId val="564490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4495343"/>
        <c:crosses val="autoZero"/>
        <c:auto val="1"/>
        <c:lblAlgn val="ctr"/>
        <c:lblOffset val="100"/>
        <c:noMultiLvlLbl val="0"/>
      </c:catAx>
      <c:valAx>
        <c:axId val="564495343"/>
        <c:scaling>
          <c:orientation val="minMax"/>
        </c:scaling>
        <c:delete val="1"/>
        <c:axPos val="b"/>
        <c:numFmt formatCode="#,##0.00\ &quot;€&quot;" sourceLinked="1"/>
        <c:majorTickMark val="none"/>
        <c:minorTickMark val="none"/>
        <c:tickLblPos val="nextTo"/>
        <c:crossAx val="56449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[balance_económico.xlsx]Mayo!gastos_mayo_por_categoria</c:name>
    <c:fmtId val="46"/>
  </c:pivotSource>
  <c:chart>
    <c:autoTitleDeleted val="1"/>
    <c:pivotFmts>
      <c:pivotFmt>
        <c:idx val="0"/>
        <c:spPr>
          <a:solidFill>
            <a:srgbClr val="9999FF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999FF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Mayo!$M$4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99FF">
                <a:alpha val="5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Mayo!$L$5:$L$10</c:f>
              <c:strCache>
                <c:ptCount val="5"/>
                <c:pt idx="0">
                  <c:v>Transporte</c:v>
                </c:pt>
                <c:pt idx="1">
                  <c:v>Ocio</c:v>
                </c:pt>
                <c:pt idx="2">
                  <c:v>Deporte</c:v>
                </c:pt>
                <c:pt idx="3">
                  <c:v>Comida</c:v>
                </c:pt>
                <c:pt idx="4">
                  <c:v>Casa</c:v>
                </c:pt>
              </c:strCache>
            </c:strRef>
          </c:cat>
          <c:val>
            <c:numRef>
              <c:f>Mayo!$M$5:$M$10</c:f>
              <c:numCache>
                <c:formatCode>#,##0.00\ "€"</c:formatCode>
                <c:ptCount val="5"/>
                <c:pt idx="0">
                  <c:v>320</c:v>
                </c:pt>
                <c:pt idx="1">
                  <c:v>125</c:v>
                </c:pt>
                <c:pt idx="2">
                  <c:v>145</c:v>
                </c:pt>
                <c:pt idx="3">
                  <c:v>300</c:v>
                </c:pt>
                <c:pt idx="4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8-47B3-A3B8-B590C85622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64490543"/>
        <c:axId val="564495343"/>
      </c:barChart>
      <c:catAx>
        <c:axId val="564490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4495343"/>
        <c:crosses val="autoZero"/>
        <c:auto val="1"/>
        <c:lblAlgn val="ctr"/>
        <c:lblOffset val="100"/>
        <c:noMultiLvlLbl val="0"/>
      </c:catAx>
      <c:valAx>
        <c:axId val="564495343"/>
        <c:scaling>
          <c:orientation val="minMax"/>
        </c:scaling>
        <c:delete val="1"/>
        <c:axPos val="b"/>
        <c:numFmt formatCode="#,##0.00\ &quot;€&quot;" sourceLinked="1"/>
        <c:majorTickMark val="none"/>
        <c:minorTickMark val="none"/>
        <c:tickLblPos val="nextTo"/>
        <c:crossAx val="56449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[balance_económico.xlsx]Junio!gastos_junio_por_categoria</c:name>
    <c:fmtId val="46"/>
  </c:pivotSource>
  <c:chart>
    <c:autoTitleDeleted val="1"/>
    <c:pivotFmts>
      <c:pivotFmt>
        <c:idx val="0"/>
        <c:spPr>
          <a:solidFill>
            <a:srgbClr val="9999FF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999FF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Junio!$M$4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99FF">
                <a:alpha val="5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Junio!$L$5:$L$11</c:f>
              <c:strCache>
                <c:ptCount val="6"/>
                <c:pt idx="0">
                  <c:v>Transporte</c:v>
                </c:pt>
                <c:pt idx="1">
                  <c:v>Ropa</c:v>
                </c:pt>
                <c:pt idx="2">
                  <c:v>Ocio</c:v>
                </c:pt>
                <c:pt idx="3">
                  <c:v>Deporte</c:v>
                </c:pt>
                <c:pt idx="4">
                  <c:v>Comida</c:v>
                </c:pt>
                <c:pt idx="5">
                  <c:v>Casa</c:v>
                </c:pt>
              </c:strCache>
            </c:strRef>
          </c:cat>
          <c:val>
            <c:numRef>
              <c:f>Junio!$M$5:$M$11</c:f>
              <c:numCache>
                <c:formatCode>#,##0.00\ "€"</c:formatCode>
                <c:ptCount val="6"/>
                <c:pt idx="0">
                  <c:v>350</c:v>
                </c:pt>
                <c:pt idx="1">
                  <c:v>50</c:v>
                </c:pt>
                <c:pt idx="2">
                  <c:v>200</c:v>
                </c:pt>
                <c:pt idx="3">
                  <c:v>145</c:v>
                </c:pt>
                <c:pt idx="4">
                  <c:v>340</c:v>
                </c:pt>
                <c:pt idx="5">
                  <c:v>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8-47B3-A3B8-B590C85622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64490543"/>
        <c:axId val="564495343"/>
      </c:barChart>
      <c:catAx>
        <c:axId val="564490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4495343"/>
        <c:crosses val="autoZero"/>
        <c:auto val="1"/>
        <c:lblAlgn val="ctr"/>
        <c:lblOffset val="100"/>
        <c:noMultiLvlLbl val="0"/>
      </c:catAx>
      <c:valAx>
        <c:axId val="564495343"/>
        <c:scaling>
          <c:orientation val="minMax"/>
        </c:scaling>
        <c:delete val="1"/>
        <c:axPos val="b"/>
        <c:numFmt formatCode="#,##0.00\ &quot;€&quot;" sourceLinked="1"/>
        <c:majorTickMark val="none"/>
        <c:minorTickMark val="none"/>
        <c:tickLblPos val="nextTo"/>
        <c:crossAx val="56449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[balance_económico.xlsx]Julio!gastos_julio_por_categoria</c:name>
    <c:fmtId val="46"/>
  </c:pivotSource>
  <c:chart>
    <c:autoTitleDeleted val="1"/>
    <c:pivotFmts>
      <c:pivotFmt>
        <c:idx val="0"/>
        <c:spPr>
          <a:solidFill>
            <a:srgbClr val="9999FF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999FF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Julio!$M$4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99FF">
                <a:alpha val="5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Julio!$L$5:$L$10</c:f>
              <c:strCache>
                <c:ptCount val="5"/>
                <c:pt idx="0">
                  <c:v>Transporte</c:v>
                </c:pt>
                <c:pt idx="1">
                  <c:v>Ocio</c:v>
                </c:pt>
                <c:pt idx="2">
                  <c:v>Deporte</c:v>
                </c:pt>
                <c:pt idx="3">
                  <c:v>Comida</c:v>
                </c:pt>
                <c:pt idx="4">
                  <c:v>Casa</c:v>
                </c:pt>
              </c:strCache>
            </c:strRef>
          </c:cat>
          <c:val>
            <c:numRef>
              <c:f>Julio!$M$5:$M$10</c:f>
              <c:numCache>
                <c:formatCode>#,##0.00\ "€"</c:formatCode>
                <c:ptCount val="5"/>
                <c:pt idx="0">
                  <c:v>320</c:v>
                </c:pt>
                <c:pt idx="1">
                  <c:v>250</c:v>
                </c:pt>
                <c:pt idx="2">
                  <c:v>145</c:v>
                </c:pt>
                <c:pt idx="3">
                  <c:v>340</c:v>
                </c:pt>
                <c:pt idx="4">
                  <c:v>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8-47B3-A3B8-B590C85622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64490543"/>
        <c:axId val="564495343"/>
      </c:barChart>
      <c:catAx>
        <c:axId val="564490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4495343"/>
        <c:crosses val="autoZero"/>
        <c:auto val="1"/>
        <c:lblAlgn val="ctr"/>
        <c:lblOffset val="100"/>
        <c:noMultiLvlLbl val="0"/>
      </c:catAx>
      <c:valAx>
        <c:axId val="564495343"/>
        <c:scaling>
          <c:orientation val="minMax"/>
        </c:scaling>
        <c:delete val="1"/>
        <c:axPos val="b"/>
        <c:numFmt formatCode="#,##0.00\ &quot;€&quot;" sourceLinked="1"/>
        <c:majorTickMark val="none"/>
        <c:minorTickMark val="none"/>
        <c:tickLblPos val="nextTo"/>
        <c:crossAx val="56449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[balance_económico.xlsx]Agosto!gastos_agosto_por_categoria</c:name>
    <c:fmtId val="47"/>
  </c:pivotSource>
  <c:chart>
    <c:autoTitleDeleted val="1"/>
    <c:pivotFmts>
      <c:pivotFmt>
        <c:idx val="0"/>
        <c:spPr>
          <a:solidFill>
            <a:srgbClr val="9999FF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999FF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Agosto!$M$4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99FF">
                <a:alpha val="5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Agosto!$L$5:$L$10</c:f>
              <c:strCache>
                <c:ptCount val="5"/>
                <c:pt idx="0">
                  <c:v>Transporte</c:v>
                </c:pt>
                <c:pt idx="1">
                  <c:v>Ocio</c:v>
                </c:pt>
                <c:pt idx="2">
                  <c:v>Deporte</c:v>
                </c:pt>
                <c:pt idx="3">
                  <c:v>Comida</c:v>
                </c:pt>
                <c:pt idx="4">
                  <c:v>Casa</c:v>
                </c:pt>
              </c:strCache>
            </c:strRef>
          </c:cat>
          <c:val>
            <c:numRef>
              <c:f>Agosto!$M$5:$M$10</c:f>
              <c:numCache>
                <c:formatCode>#,##0.00\ "€"</c:formatCode>
                <c:ptCount val="5"/>
                <c:pt idx="0">
                  <c:v>280</c:v>
                </c:pt>
                <c:pt idx="1">
                  <c:v>180</c:v>
                </c:pt>
                <c:pt idx="2">
                  <c:v>145</c:v>
                </c:pt>
                <c:pt idx="3">
                  <c:v>300</c:v>
                </c:pt>
                <c:pt idx="4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8-47B3-A3B8-B590C85622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64490543"/>
        <c:axId val="564495343"/>
      </c:barChart>
      <c:catAx>
        <c:axId val="564490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4495343"/>
        <c:crosses val="autoZero"/>
        <c:auto val="1"/>
        <c:lblAlgn val="ctr"/>
        <c:lblOffset val="100"/>
        <c:noMultiLvlLbl val="0"/>
      </c:catAx>
      <c:valAx>
        <c:axId val="564495343"/>
        <c:scaling>
          <c:orientation val="minMax"/>
        </c:scaling>
        <c:delete val="1"/>
        <c:axPos val="b"/>
        <c:numFmt formatCode="#,##0.00\ &quot;€&quot;" sourceLinked="1"/>
        <c:majorTickMark val="none"/>
        <c:minorTickMark val="none"/>
        <c:tickLblPos val="nextTo"/>
        <c:crossAx val="56449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[balance_económico.xlsx]Septiembre!gastos_septiembre_por_categoria</c:name>
    <c:fmtId val="46"/>
  </c:pivotSource>
  <c:chart>
    <c:autoTitleDeleted val="1"/>
    <c:pivotFmts>
      <c:pivotFmt>
        <c:idx val="0"/>
        <c:spPr>
          <a:solidFill>
            <a:srgbClr val="9999FF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999FF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Septiembre!$M$4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99FF">
                <a:alpha val="5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Septiembre!$L$5:$L$10</c:f>
              <c:strCache>
                <c:ptCount val="5"/>
                <c:pt idx="0">
                  <c:v>Transporte</c:v>
                </c:pt>
                <c:pt idx="1">
                  <c:v>Ocio</c:v>
                </c:pt>
                <c:pt idx="2">
                  <c:v>Deporte</c:v>
                </c:pt>
                <c:pt idx="3">
                  <c:v>Comida</c:v>
                </c:pt>
                <c:pt idx="4">
                  <c:v>Casa</c:v>
                </c:pt>
              </c:strCache>
            </c:strRef>
          </c:cat>
          <c:val>
            <c:numRef>
              <c:f>Septiembre!$M$5:$M$10</c:f>
              <c:numCache>
                <c:formatCode>#,##0.00\ "€"</c:formatCode>
                <c:ptCount val="5"/>
                <c:pt idx="0">
                  <c:v>260</c:v>
                </c:pt>
                <c:pt idx="1">
                  <c:v>170</c:v>
                </c:pt>
                <c:pt idx="2">
                  <c:v>145</c:v>
                </c:pt>
                <c:pt idx="3">
                  <c:v>290</c:v>
                </c:pt>
                <c:pt idx="4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8-47B3-A3B8-B590C85622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64490543"/>
        <c:axId val="564495343"/>
      </c:barChart>
      <c:catAx>
        <c:axId val="564490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4495343"/>
        <c:crosses val="autoZero"/>
        <c:auto val="1"/>
        <c:lblAlgn val="ctr"/>
        <c:lblOffset val="100"/>
        <c:noMultiLvlLbl val="0"/>
      </c:catAx>
      <c:valAx>
        <c:axId val="564495343"/>
        <c:scaling>
          <c:orientation val="minMax"/>
        </c:scaling>
        <c:delete val="1"/>
        <c:axPos val="b"/>
        <c:numFmt formatCode="#,##0.00\ &quot;€&quot;" sourceLinked="1"/>
        <c:majorTickMark val="none"/>
        <c:minorTickMark val="none"/>
        <c:tickLblPos val="nextTo"/>
        <c:crossAx val="56449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[balance_económico.xlsx]Octubre!gastos_octubre_por_categoria</c:name>
    <c:fmtId val="46"/>
  </c:pivotSource>
  <c:chart>
    <c:autoTitleDeleted val="1"/>
    <c:pivotFmts>
      <c:pivotFmt>
        <c:idx val="0"/>
        <c:spPr>
          <a:solidFill>
            <a:srgbClr val="9999FF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999FF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Octubre!$M$4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99FF">
                <a:alpha val="5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Octubre!$L$5:$L$10</c:f>
              <c:strCache>
                <c:ptCount val="5"/>
                <c:pt idx="0">
                  <c:v>Transporte</c:v>
                </c:pt>
                <c:pt idx="1">
                  <c:v>Ocio</c:v>
                </c:pt>
                <c:pt idx="2">
                  <c:v>Deporte</c:v>
                </c:pt>
                <c:pt idx="3">
                  <c:v>Comida</c:v>
                </c:pt>
                <c:pt idx="4">
                  <c:v>Casa</c:v>
                </c:pt>
              </c:strCache>
            </c:strRef>
          </c:cat>
          <c:val>
            <c:numRef>
              <c:f>Octubre!$M$5:$M$10</c:f>
              <c:numCache>
                <c:formatCode>#,##0.00\ "€"</c:formatCode>
                <c:ptCount val="5"/>
                <c:pt idx="0">
                  <c:v>320</c:v>
                </c:pt>
                <c:pt idx="1">
                  <c:v>175</c:v>
                </c:pt>
                <c:pt idx="2">
                  <c:v>145</c:v>
                </c:pt>
                <c:pt idx="3">
                  <c:v>320</c:v>
                </c:pt>
                <c:pt idx="4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8-47B3-A3B8-B590C85622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64490543"/>
        <c:axId val="564495343"/>
      </c:barChart>
      <c:catAx>
        <c:axId val="564490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4495343"/>
        <c:crosses val="autoZero"/>
        <c:auto val="1"/>
        <c:lblAlgn val="ctr"/>
        <c:lblOffset val="100"/>
        <c:noMultiLvlLbl val="0"/>
      </c:catAx>
      <c:valAx>
        <c:axId val="564495343"/>
        <c:scaling>
          <c:orientation val="minMax"/>
        </c:scaling>
        <c:delete val="1"/>
        <c:axPos val="b"/>
        <c:numFmt formatCode="#,##0.00\ &quot;€&quot;" sourceLinked="1"/>
        <c:majorTickMark val="none"/>
        <c:minorTickMark val="none"/>
        <c:tickLblPos val="nextTo"/>
        <c:crossAx val="56449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[balance_económico.xlsx]Noviembre!gastos_noviembre_por_categoria</c:name>
    <c:fmtId val="46"/>
  </c:pivotSource>
  <c:chart>
    <c:autoTitleDeleted val="1"/>
    <c:pivotFmts>
      <c:pivotFmt>
        <c:idx val="0"/>
        <c:spPr>
          <a:solidFill>
            <a:srgbClr val="9999FF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999FF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Noviembre!$M$4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99FF">
                <a:alpha val="5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Noviembre!$L$5:$L$11</c:f>
              <c:strCache>
                <c:ptCount val="6"/>
                <c:pt idx="0">
                  <c:v>Transporte</c:v>
                </c:pt>
                <c:pt idx="1">
                  <c:v>Ropa</c:v>
                </c:pt>
                <c:pt idx="2">
                  <c:v>Ocio</c:v>
                </c:pt>
                <c:pt idx="3">
                  <c:v>Deporte</c:v>
                </c:pt>
                <c:pt idx="4">
                  <c:v>Comida</c:v>
                </c:pt>
                <c:pt idx="5">
                  <c:v>Casa</c:v>
                </c:pt>
              </c:strCache>
            </c:strRef>
          </c:cat>
          <c:val>
            <c:numRef>
              <c:f>Noviembre!$M$5:$M$11</c:f>
              <c:numCache>
                <c:formatCode>#,##0.00\ "€"</c:formatCode>
                <c:ptCount val="6"/>
                <c:pt idx="0">
                  <c:v>340</c:v>
                </c:pt>
                <c:pt idx="1">
                  <c:v>25</c:v>
                </c:pt>
                <c:pt idx="2">
                  <c:v>193</c:v>
                </c:pt>
                <c:pt idx="3">
                  <c:v>145</c:v>
                </c:pt>
                <c:pt idx="4">
                  <c:v>320</c:v>
                </c:pt>
                <c:pt idx="5">
                  <c:v>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8-47B3-A3B8-B590C85622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64490543"/>
        <c:axId val="564495343"/>
      </c:barChart>
      <c:catAx>
        <c:axId val="564490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4495343"/>
        <c:crosses val="autoZero"/>
        <c:auto val="1"/>
        <c:lblAlgn val="ctr"/>
        <c:lblOffset val="100"/>
        <c:noMultiLvlLbl val="0"/>
      </c:catAx>
      <c:valAx>
        <c:axId val="564495343"/>
        <c:scaling>
          <c:orientation val="minMax"/>
        </c:scaling>
        <c:delete val="1"/>
        <c:axPos val="b"/>
        <c:numFmt formatCode="#,##0.00\ &quot;€&quot;" sourceLinked="1"/>
        <c:majorTickMark val="none"/>
        <c:minorTickMark val="none"/>
        <c:tickLblPos val="nextTo"/>
        <c:crossAx val="56449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[balance_económico.xlsx]Diciembre!gastos_diciembre_por_categoria</c:name>
    <c:fmtId val="46"/>
  </c:pivotSource>
  <c:chart>
    <c:autoTitleDeleted val="1"/>
    <c:pivotFmts>
      <c:pivotFmt>
        <c:idx val="0"/>
        <c:spPr>
          <a:solidFill>
            <a:srgbClr val="9999FF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999FF">
              <a:alpha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Diciembre!$M$4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99FF">
                <a:alpha val="5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Diciembre!$L$5:$L$10</c:f>
              <c:strCache>
                <c:ptCount val="5"/>
                <c:pt idx="0">
                  <c:v>Transporte</c:v>
                </c:pt>
                <c:pt idx="1">
                  <c:v>Ocio</c:v>
                </c:pt>
                <c:pt idx="2">
                  <c:v>Deporte</c:v>
                </c:pt>
                <c:pt idx="3">
                  <c:v>Comida</c:v>
                </c:pt>
                <c:pt idx="4">
                  <c:v>Casa</c:v>
                </c:pt>
              </c:strCache>
            </c:strRef>
          </c:cat>
          <c:val>
            <c:numRef>
              <c:f>Diciembre!$M$5:$M$10</c:f>
              <c:numCache>
                <c:formatCode>#,##0.00\ "€"</c:formatCode>
                <c:ptCount val="5"/>
                <c:pt idx="0">
                  <c:v>260</c:v>
                </c:pt>
                <c:pt idx="1">
                  <c:v>135</c:v>
                </c:pt>
                <c:pt idx="2">
                  <c:v>145</c:v>
                </c:pt>
                <c:pt idx="3">
                  <c:v>340</c:v>
                </c:pt>
                <c:pt idx="4">
                  <c:v>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8-47B3-A3B8-B590C85622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64490543"/>
        <c:axId val="564495343"/>
      </c:barChart>
      <c:catAx>
        <c:axId val="564490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4495343"/>
        <c:crosses val="autoZero"/>
        <c:auto val="1"/>
        <c:lblAlgn val="ctr"/>
        <c:lblOffset val="100"/>
        <c:noMultiLvlLbl val="0"/>
      </c:catAx>
      <c:valAx>
        <c:axId val="564495343"/>
        <c:scaling>
          <c:orientation val="minMax"/>
        </c:scaling>
        <c:delete val="1"/>
        <c:axPos val="b"/>
        <c:numFmt formatCode="#,##0.00\ &quot;€&quot;" sourceLinked="1"/>
        <c:majorTickMark val="none"/>
        <c:minorTickMark val="none"/>
        <c:tickLblPos val="nextTo"/>
        <c:crossAx val="56449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4760</xdr:rowOff>
    </xdr:from>
    <xdr:to>
      <xdr:col>7</xdr:col>
      <xdr:colOff>1</xdr:colOff>
      <xdr:row>26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5408E-C44D-7D96-6544-F85758375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</xdr:row>
      <xdr:rowOff>195264</xdr:rowOff>
    </xdr:from>
    <xdr:to>
      <xdr:col>14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58F764-2B7D-1C2A-5ABE-40A425ADA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0.10071</cdr:x>
      <cdr:y>0.84088</cdr:y>
    </cdr:from>
    <cdr:to>
      <cdr:x>0.97872</cdr:x>
      <cdr:y>0.84088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501F114C-8CC7-FF4B-4C60-F2C80F3FDD26}"/>
            </a:ext>
          </a:extLst>
        </cdr:cNvPr>
        <cdr:cNvCxnSpPr/>
      </cdr:nvCxnSpPr>
      <cdr:spPr>
        <a:xfrm xmlns:a="http://schemas.openxmlformats.org/drawingml/2006/main">
          <a:off x="676275" y="2919411"/>
          <a:ext cx="5895975" cy="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C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10</xdr:row>
      <xdr:rowOff>190498</xdr:rowOff>
    </xdr:from>
    <xdr:to>
      <xdr:col>4</xdr:col>
      <xdr:colOff>609599</xdr:colOff>
      <xdr:row>35</xdr:row>
      <xdr:rowOff>190499</xdr:rowOff>
    </xdr:to>
    <xdr:graphicFrame macro="">
      <xdr:nvGraphicFramePr>
        <xdr:cNvPr id="3" name="gráfico_enero">
          <a:extLst>
            <a:ext uri="{FF2B5EF4-FFF2-40B4-BE49-F238E27FC236}">
              <a16:creationId xmlns:a16="http://schemas.microsoft.com/office/drawing/2014/main" id="{4A5D5FA6-6CB0-C3EB-83DD-A871FFFA9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11</xdr:row>
      <xdr:rowOff>4762</xdr:rowOff>
    </xdr:from>
    <xdr:to>
      <xdr:col>4</xdr:col>
      <xdr:colOff>609599</xdr:colOff>
      <xdr:row>36</xdr:row>
      <xdr:rowOff>0</xdr:rowOff>
    </xdr:to>
    <xdr:graphicFrame macro="">
      <xdr:nvGraphicFramePr>
        <xdr:cNvPr id="2" name="gráfico_febrero">
          <a:extLst>
            <a:ext uri="{FF2B5EF4-FFF2-40B4-BE49-F238E27FC236}">
              <a16:creationId xmlns:a16="http://schemas.microsoft.com/office/drawing/2014/main" id="{9F8691FA-6888-B4EA-2EFC-E740A7F8A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4762</xdr:rowOff>
    </xdr:from>
    <xdr:to>
      <xdr:col>5</xdr:col>
      <xdr:colOff>0</xdr:colOff>
      <xdr:row>30</xdr:row>
      <xdr:rowOff>0</xdr:rowOff>
    </xdr:to>
    <xdr:graphicFrame macro="">
      <xdr:nvGraphicFramePr>
        <xdr:cNvPr id="2" name="grafico_marzo">
          <a:extLst>
            <a:ext uri="{FF2B5EF4-FFF2-40B4-BE49-F238E27FC236}">
              <a16:creationId xmlns:a16="http://schemas.microsoft.com/office/drawing/2014/main" id="{D100F00A-2D08-4789-8208-2FBD85E89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11</xdr:row>
      <xdr:rowOff>4762</xdr:rowOff>
    </xdr:from>
    <xdr:to>
      <xdr:col>4</xdr:col>
      <xdr:colOff>609599</xdr:colOff>
      <xdr:row>36</xdr:row>
      <xdr:rowOff>0</xdr:rowOff>
    </xdr:to>
    <xdr:graphicFrame macro="">
      <xdr:nvGraphicFramePr>
        <xdr:cNvPr id="2" name="grafico_abril">
          <a:extLst>
            <a:ext uri="{FF2B5EF4-FFF2-40B4-BE49-F238E27FC236}">
              <a16:creationId xmlns:a16="http://schemas.microsoft.com/office/drawing/2014/main" id="{0E80213D-10E8-4794-134B-403ADA1C2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11</xdr:row>
      <xdr:rowOff>4762</xdr:rowOff>
    </xdr:from>
    <xdr:to>
      <xdr:col>4</xdr:col>
      <xdr:colOff>609599</xdr:colOff>
      <xdr:row>36</xdr:row>
      <xdr:rowOff>0</xdr:rowOff>
    </xdr:to>
    <xdr:graphicFrame macro="">
      <xdr:nvGraphicFramePr>
        <xdr:cNvPr id="2" name="grafico_mayo">
          <a:extLst>
            <a:ext uri="{FF2B5EF4-FFF2-40B4-BE49-F238E27FC236}">
              <a16:creationId xmlns:a16="http://schemas.microsoft.com/office/drawing/2014/main" id="{AE398DB4-36E3-BBD9-7946-02E3159C1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4762</xdr:rowOff>
    </xdr:from>
    <xdr:to>
      <xdr:col>5</xdr:col>
      <xdr:colOff>0</xdr:colOff>
      <xdr:row>36</xdr:row>
      <xdr:rowOff>0</xdr:rowOff>
    </xdr:to>
    <xdr:graphicFrame macro="">
      <xdr:nvGraphicFramePr>
        <xdr:cNvPr id="2" name="grafico_junio">
          <a:extLst>
            <a:ext uri="{FF2B5EF4-FFF2-40B4-BE49-F238E27FC236}">
              <a16:creationId xmlns:a16="http://schemas.microsoft.com/office/drawing/2014/main" id="{B95F23B2-6FA4-F41D-09D2-A8B817C76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11</xdr:row>
      <xdr:rowOff>4762</xdr:rowOff>
    </xdr:from>
    <xdr:to>
      <xdr:col>4</xdr:col>
      <xdr:colOff>609599</xdr:colOff>
      <xdr:row>36</xdr:row>
      <xdr:rowOff>0</xdr:rowOff>
    </xdr:to>
    <xdr:graphicFrame macro="">
      <xdr:nvGraphicFramePr>
        <xdr:cNvPr id="2" name="grafico_julio">
          <a:extLst>
            <a:ext uri="{FF2B5EF4-FFF2-40B4-BE49-F238E27FC236}">
              <a16:creationId xmlns:a16="http://schemas.microsoft.com/office/drawing/2014/main" id="{D5DFF626-73EF-0DC8-9B4F-28A253D0F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4762</xdr:rowOff>
    </xdr:from>
    <xdr:to>
      <xdr:col>5</xdr:col>
      <xdr:colOff>1</xdr:colOff>
      <xdr:row>36</xdr:row>
      <xdr:rowOff>0</xdr:rowOff>
    </xdr:to>
    <xdr:graphicFrame macro="">
      <xdr:nvGraphicFramePr>
        <xdr:cNvPr id="3" name="grafico_agosto">
          <a:extLst>
            <a:ext uri="{FF2B5EF4-FFF2-40B4-BE49-F238E27FC236}">
              <a16:creationId xmlns:a16="http://schemas.microsoft.com/office/drawing/2014/main" id="{414ECD61-4851-799E-40DF-70B464FC4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11</xdr:row>
      <xdr:rowOff>4762</xdr:rowOff>
    </xdr:from>
    <xdr:to>
      <xdr:col>4</xdr:col>
      <xdr:colOff>609599</xdr:colOff>
      <xdr:row>36</xdr:row>
      <xdr:rowOff>0</xdr:rowOff>
    </xdr:to>
    <xdr:graphicFrame macro="">
      <xdr:nvGraphicFramePr>
        <xdr:cNvPr id="2" name="grafico_septiembre">
          <a:extLst>
            <a:ext uri="{FF2B5EF4-FFF2-40B4-BE49-F238E27FC236}">
              <a16:creationId xmlns:a16="http://schemas.microsoft.com/office/drawing/2014/main" id="{EB593261-3DF7-D702-C234-821AD17D0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11</xdr:row>
      <xdr:rowOff>4760</xdr:rowOff>
    </xdr:from>
    <xdr:to>
      <xdr:col>4</xdr:col>
      <xdr:colOff>609599</xdr:colOff>
      <xdr:row>35</xdr:row>
      <xdr:rowOff>190499</xdr:rowOff>
    </xdr:to>
    <xdr:graphicFrame macro="">
      <xdr:nvGraphicFramePr>
        <xdr:cNvPr id="2" name="grafico_octubre">
          <a:extLst>
            <a:ext uri="{FF2B5EF4-FFF2-40B4-BE49-F238E27FC236}">
              <a16:creationId xmlns:a16="http://schemas.microsoft.com/office/drawing/2014/main" id="{35BA0F72-2607-8315-AE00-2EAA35626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4762</xdr:rowOff>
    </xdr:from>
    <xdr:to>
      <xdr:col>5</xdr:col>
      <xdr:colOff>0</xdr:colOff>
      <xdr:row>36</xdr:row>
      <xdr:rowOff>0</xdr:rowOff>
    </xdr:to>
    <xdr:graphicFrame macro="">
      <xdr:nvGraphicFramePr>
        <xdr:cNvPr id="2" name="grafico_noviembre">
          <a:extLst>
            <a:ext uri="{FF2B5EF4-FFF2-40B4-BE49-F238E27FC236}">
              <a16:creationId xmlns:a16="http://schemas.microsoft.com/office/drawing/2014/main" id="{AE168AF7-5D32-FBDA-3B11-831E05993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11</xdr:row>
      <xdr:rowOff>4762</xdr:rowOff>
    </xdr:from>
    <xdr:to>
      <xdr:col>4</xdr:col>
      <xdr:colOff>609599</xdr:colOff>
      <xdr:row>36</xdr:row>
      <xdr:rowOff>0</xdr:rowOff>
    </xdr:to>
    <xdr:graphicFrame macro="">
      <xdr:nvGraphicFramePr>
        <xdr:cNvPr id="2" name="grafico_diciembre">
          <a:extLst>
            <a:ext uri="{FF2B5EF4-FFF2-40B4-BE49-F238E27FC236}">
              <a16:creationId xmlns:a16="http://schemas.microsoft.com/office/drawing/2014/main" id="{6F5C339F-C401-2C5B-0F40-5BA046825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o Puchades del Olmo" refreshedDate="46057.658862037038" createdVersion="8" refreshedVersion="8" minRefreshableVersion="3" recordCount="9" xr:uid="{BB5089E4-4FA9-4AF7-A0CE-03BF950D9E90}">
  <cacheSource type="worksheet">
    <worksheetSource name="gastos_enero"/>
  </cacheSource>
  <cacheFields count="3">
    <cacheField name="Concepto" numFmtId="0">
      <sharedItems/>
    </cacheField>
    <cacheField name="Categoría" numFmtId="164">
      <sharedItems containsBlank="1" count="11">
        <s v="Transporte"/>
        <s v="Casa"/>
        <s v="Ocio"/>
        <s v="Comida"/>
        <s v="Deporte"/>
        <s v="Ropa"/>
        <m u="1"/>
        <s v="Inversiones" u="1"/>
        <s v="Cuotas" u="1"/>
        <s v="Básicos" u="1"/>
        <s v="Regalos" u="1"/>
      </sharedItems>
    </cacheField>
    <cacheField name="Monto" numFmtId="164">
      <sharedItems containsSemiMixedTypes="0" containsString="0" containsNumber="1" containsInteger="1" minValue="25" maxValue="6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o Puchades del Olmo" refreshedDate="46057.660101157409" createdVersion="8" refreshedVersion="8" minRefreshableVersion="3" recordCount="9" xr:uid="{637CCB4A-1DCF-4EE0-BD4F-EA2F5FEE5905}">
  <cacheSource type="worksheet">
    <worksheetSource name="gastos_febrero"/>
  </cacheSource>
  <cacheFields count="3">
    <cacheField name="Concepto" numFmtId="0">
      <sharedItems/>
    </cacheField>
    <cacheField name="Categoría" numFmtId="164">
      <sharedItems containsBlank="1" count="11">
        <s v="Transporte"/>
        <s v="Casa"/>
        <s v="Ocio"/>
        <s v="Comida"/>
        <s v="Deporte"/>
        <s v="Ropa"/>
        <m u="1"/>
        <s v="Inversiones" u="1"/>
        <s v="Cuotas" u="1"/>
        <s v="Básicos" u="1"/>
        <s v="Regalos" u="1"/>
      </sharedItems>
    </cacheField>
    <cacheField name="Monto" numFmtId="164">
      <sharedItems containsSemiMixedTypes="0" containsString="0" containsNumber="1" containsInteger="1" minValue="25" maxValue="650"/>
    </cacheField>
  </cacheFields>
  <extLst>
    <ext xmlns:x14="http://schemas.microsoft.com/office/spreadsheetml/2009/9/main" uri="{725AE2AE-9491-48be-B2B4-4EB974FC3084}">
      <x14:pivotCacheDefinition pivotCacheId="124094095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o Puchades del Olmo" refreshedDate="46057.663607291666" createdVersion="8" refreshedVersion="8" minRefreshableVersion="3" recordCount="8" xr:uid="{02742518-B3CE-4E4C-84A6-51ED6AC60098}">
  <cacheSource type="worksheet">
    <worksheetSource name="gastos_marzo"/>
  </cacheSource>
  <cacheFields count="3">
    <cacheField name="Concepto" numFmtId="0">
      <sharedItems/>
    </cacheField>
    <cacheField name="Categoría" numFmtId="164">
      <sharedItems containsBlank="1" count="10">
        <s v="Transporte"/>
        <s v="Casa"/>
        <s v="Ocio"/>
        <s v="Comida"/>
        <s v="Deporte"/>
        <s v="Ropa" u="1"/>
        <m u="1"/>
        <s v="Inversiones" u="1"/>
        <s v="Cuotas" u="1"/>
        <s v="Básicos" u="1"/>
      </sharedItems>
    </cacheField>
    <cacheField name="Monto" numFmtId="164">
      <sharedItems containsSemiMixedTypes="0" containsString="0" containsNumber="1" containsInteger="1" minValue="25" maxValue="6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o Puchades del Olmo" refreshedDate="46057.664340740739" createdVersion="8" refreshedVersion="8" minRefreshableVersion="3" recordCount="10" xr:uid="{ABB4FBC7-0986-441E-8173-0D3710655C15}">
  <cacheSource type="worksheet">
    <worksheetSource name="gastos_abril"/>
  </cacheSource>
  <cacheFields count="3">
    <cacheField name="Concepto" numFmtId="0">
      <sharedItems/>
    </cacheField>
    <cacheField name="Categoría" numFmtId="164">
      <sharedItems containsBlank="1" count="10">
        <s v="Transporte"/>
        <s v="Casa"/>
        <s v="Ocio"/>
        <s v="Comida"/>
        <s v="Deporte"/>
        <s v="Ropa"/>
        <m u="1"/>
        <s v="Inversiones" u="1"/>
        <s v="Cuotas" u="1"/>
        <s v="Básicos" u="1"/>
      </sharedItems>
    </cacheField>
    <cacheField name="Monto" numFmtId="164">
      <sharedItems containsSemiMixedTypes="0" containsString="0" containsNumber="1" containsInteger="1" minValue="25" maxValue="6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o Puchades del Olmo" refreshedDate="46057.666174537037" createdVersion="8" refreshedVersion="8" minRefreshableVersion="3" recordCount="8" xr:uid="{AC5BD989-0E03-47AC-923C-C383F9E20175}">
  <cacheSource type="worksheet">
    <worksheetSource name="gastos_mayo"/>
  </cacheSource>
  <cacheFields count="3">
    <cacheField name="Concepto" numFmtId="0">
      <sharedItems/>
    </cacheField>
    <cacheField name="Categoría" numFmtId="164">
      <sharedItems containsBlank="1" count="9">
        <s v="Transporte"/>
        <s v="Casa"/>
        <s v="Ocio"/>
        <s v="Comida"/>
        <s v="Deporte"/>
        <m u="1"/>
        <s v="Inversiones" u="1"/>
        <s v="Cuotas" u="1"/>
        <s v="Básicos" u="1"/>
      </sharedItems>
    </cacheField>
    <cacheField name="Monto" numFmtId="164">
      <sharedItems containsSemiMixedTypes="0" containsString="0" containsNumber="1" containsInteger="1" minValue="25" maxValue="6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o Puchades del Olmo" refreshedDate="46057.667090740739" createdVersion="8" refreshedVersion="8" minRefreshableVersion="3" recordCount="9" xr:uid="{B9934DCD-B27C-467B-8263-C03BFC18769E}">
  <cacheSource type="worksheet">
    <worksheetSource name="gastos_junio"/>
  </cacheSource>
  <cacheFields count="3">
    <cacheField name="Concepto" numFmtId="0">
      <sharedItems/>
    </cacheField>
    <cacheField name="Categoría" numFmtId="164">
      <sharedItems containsBlank="1" count="10">
        <s v="Transporte"/>
        <s v="Casa"/>
        <s v="Ocio"/>
        <s v="Comida"/>
        <s v="Deporte"/>
        <s v="Ropa"/>
        <m u="1"/>
        <s v="Inversiones" u="1"/>
        <s v="Cuotas" u="1"/>
        <s v="Básicos" u="1"/>
      </sharedItems>
    </cacheField>
    <cacheField name="Monto" numFmtId="164">
      <sharedItems containsSemiMixedTypes="0" containsString="0" containsNumber="1" containsInteger="1" minValue="25" maxValue="6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o Puchades del Olmo" refreshedDate="46057.667724305553" createdVersion="8" refreshedVersion="8" minRefreshableVersion="3" recordCount="8" xr:uid="{C3A9449E-3249-441C-A981-DC016F2DCB7C}">
  <cacheSource type="worksheet">
    <worksheetSource name="gastos_julio"/>
  </cacheSource>
  <cacheFields count="3">
    <cacheField name="Concepto" numFmtId="0">
      <sharedItems/>
    </cacheField>
    <cacheField name="Categoría" numFmtId="164">
      <sharedItems containsBlank="1" count="9">
        <s v="Transporte"/>
        <s v="Casa"/>
        <s v="Ocio"/>
        <s v="Comida"/>
        <s v="Deporte"/>
        <m u="1"/>
        <s v="Inversiones" u="1"/>
        <s v="Cuotas" u="1"/>
        <s v="Básicos" u="1"/>
      </sharedItems>
    </cacheField>
    <cacheField name="Monto" numFmtId="164">
      <sharedItems containsSemiMixedTypes="0" containsString="0" containsNumber="1" containsInteger="1" minValue="25" maxValue="6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o Puchades del Olmo" refreshedDate="46057.669542361109" createdVersion="8" refreshedVersion="8" minRefreshableVersion="3" recordCount="8" xr:uid="{0BBFB03D-DA77-4EBE-B167-4C2B94AECC52}">
  <cacheSource type="worksheet">
    <worksheetSource name="gastos_agosto"/>
  </cacheSource>
  <cacheFields count="3">
    <cacheField name="Concepto" numFmtId="0">
      <sharedItems/>
    </cacheField>
    <cacheField name="Categoría" numFmtId="164">
      <sharedItems containsBlank="1" count="9">
        <s v="Transporte"/>
        <s v="Casa"/>
        <s v="Ocio"/>
        <s v="Comida"/>
        <s v="Deporte"/>
        <m u="1"/>
        <s v="Inversiones" u="1"/>
        <s v="Cuotas" u="1"/>
        <s v="Básicos" u="1"/>
      </sharedItems>
    </cacheField>
    <cacheField name="Monto" numFmtId="164">
      <sharedItems containsSemiMixedTypes="0" containsString="0" containsNumber="1" containsInteger="1" minValue="25" maxValue="6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o Puchades del Olmo" refreshedDate="46057.670344212966" createdVersion="8" refreshedVersion="8" minRefreshableVersion="3" recordCount="8" xr:uid="{D0C79E23-A44C-4CA5-81AA-235F42EC87A0}">
  <cacheSource type="worksheet">
    <worksheetSource name="gastos_septiembre"/>
  </cacheSource>
  <cacheFields count="3">
    <cacheField name="Concepto" numFmtId="0">
      <sharedItems/>
    </cacheField>
    <cacheField name="Categoría" numFmtId="164">
      <sharedItems containsBlank="1" count="9">
        <s v="Transporte"/>
        <s v="Casa"/>
        <s v="Ocio"/>
        <s v="Comida"/>
        <s v="Deporte"/>
        <m u="1"/>
        <s v="Inversiones" u="1"/>
        <s v="Cuotas" u="1"/>
        <s v="Básicos" u="1"/>
      </sharedItems>
    </cacheField>
    <cacheField name="Monto" numFmtId="164">
      <sharedItems containsSemiMixedTypes="0" containsString="0" containsNumber="1" containsInteger="1" minValue="25" maxValue="6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o Puchades del Olmo" refreshedDate="46057.671192592592" createdVersion="8" refreshedVersion="8" minRefreshableVersion="3" recordCount="8" xr:uid="{EC5572AE-885E-4C69-BB1D-A5A42AC93F7D}">
  <cacheSource type="worksheet">
    <worksheetSource name="gastos_octubre"/>
  </cacheSource>
  <cacheFields count="3">
    <cacheField name="Concepto" numFmtId="0">
      <sharedItems/>
    </cacheField>
    <cacheField name="Categoría" numFmtId="164">
      <sharedItems containsBlank="1" count="9">
        <s v="Transporte"/>
        <s v="Casa"/>
        <s v="Ocio"/>
        <s v="Comida"/>
        <s v="Deporte"/>
        <m u="1"/>
        <s v="Inversiones" u="1"/>
        <s v="Cuotas" u="1"/>
        <s v="Básicos" u="1"/>
      </sharedItems>
    </cacheField>
    <cacheField name="Monto" numFmtId="164">
      <sharedItems containsSemiMixedTypes="0" containsString="0" containsNumber="1" containsInteger="1" minValue="25" maxValue="6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o Puchades del Olmo" refreshedDate="46057.671900000001" createdVersion="8" refreshedVersion="8" minRefreshableVersion="3" recordCount="9" xr:uid="{ED54B0FD-02C7-402F-9AB0-5A346D90AE90}">
  <cacheSource type="worksheet">
    <worksheetSource name="gastos_noviembre"/>
  </cacheSource>
  <cacheFields count="3">
    <cacheField name="Concepto" numFmtId="0">
      <sharedItems/>
    </cacheField>
    <cacheField name="Categoría" numFmtId="164">
      <sharedItems containsBlank="1" count="10">
        <s v="Transporte"/>
        <s v="Casa"/>
        <s v="Ocio"/>
        <s v="Comida"/>
        <s v="Deporte"/>
        <s v="Ropa"/>
        <m u="1"/>
        <s v="Inversiones" u="1"/>
        <s v="Cuotas" u="1"/>
        <s v="Básicos" u="1"/>
      </sharedItems>
    </cacheField>
    <cacheField name="Monto" numFmtId="164">
      <sharedItems containsSemiMixedTypes="0" containsString="0" containsNumber="1" containsInteger="1" minValue="25" maxValue="6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o Puchades del Olmo" refreshedDate="46057.672585995373" createdVersion="8" refreshedVersion="8" minRefreshableVersion="3" recordCount="8" xr:uid="{02D8CD90-002F-49EA-A52E-AA2908B33F07}">
  <cacheSource type="worksheet">
    <worksheetSource name="gastos_diciembre"/>
  </cacheSource>
  <cacheFields count="3">
    <cacheField name="Concepto" numFmtId="0">
      <sharedItems/>
    </cacheField>
    <cacheField name="Categoría" numFmtId="164">
      <sharedItems containsBlank="1" count="10">
        <s v="Transporte"/>
        <s v="Casa"/>
        <s v="Ocio"/>
        <s v="Comida"/>
        <s v="Deporte"/>
        <m u="1"/>
        <s v="as" u="1"/>
        <s v="Inversiones" u="1"/>
        <s v="Cuotas" u="1"/>
        <s v="Básicos" u="1"/>
      </sharedItems>
    </cacheField>
    <cacheField name="Monto" numFmtId="164">
      <sharedItems containsSemiMixedTypes="0" containsString="0" containsNumber="1" containsInteger="1" minValue="25" maxValue="6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Gasolina"/>
    <x v="0"/>
    <n v="300"/>
  </r>
  <r>
    <s v="Hipoteca"/>
    <x v="1"/>
    <n v="650"/>
  </r>
  <r>
    <s v="Cena amigos"/>
    <x v="2"/>
    <n v="45"/>
  </r>
  <r>
    <s v="Comida del mes"/>
    <x v="3"/>
    <n v="300"/>
  </r>
  <r>
    <s v="Entrenamientos tenis"/>
    <x v="4"/>
    <n v="120"/>
  </r>
  <r>
    <s v="Gimnasio"/>
    <x v="4"/>
    <n v="25"/>
  </r>
  <r>
    <s v="Luz y teléfono"/>
    <x v="1"/>
    <n v="200"/>
  </r>
  <r>
    <s v="Cervezas y juegos"/>
    <x v="2"/>
    <n v="125"/>
  </r>
  <r>
    <s v="Ropa trabajo"/>
    <x v="5"/>
    <n v="1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Gasolina"/>
    <x v="0"/>
    <n v="250"/>
  </r>
  <r>
    <s v="Hipoteca"/>
    <x v="1"/>
    <n v="650"/>
  </r>
  <r>
    <s v="Cena amigos"/>
    <x v="2"/>
    <n v="68"/>
  </r>
  <r>
    <s v="Comida del mes"/>
    <x v="3"/>
    <n v="350"/>
  </r>
  <r>
    <s v="Entrenamientos tenis"/>
    <x v="4"/>
    <n v="120"/>
  </r>
  <r>
    <s v="Gimnasio"/>
    <x v="4"/>
    <n v="25"/>
  </r>
  <r>
    <s v="Luz y teléfono"/>
    <x v="1"/>
    <n v="220"/>
  </r>
  <r>
    <s v="Cervezas y juegos"/>
    <x v="2"/>
    <n v="140"/>
  </r>
  <r>
    <s v="Ropa trabajo"/>
    <x v="5"/>
    <n v="1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Gasolina"/>
    <x v="0"/>
    <n v="200"/>
  </r>
  <r>
    <s v="Hipoteca"/>
    <x v="1"/>
    <n v="650"/>
  </r>
  <r>
    <s v="Cena amigos"/>
    <x v="2"/>
    <n v="80"/>
  </r>
  <r>
    <s v="Comida del mes"/>
    <x v="3"/>
    <n v="340"/>
  </r>
  <r>
    <s v="Entrenamientos tenis"/>
    <x v="4"/>
    <n v="120"/>
  </r>
  <r>
    <s v="Gimnasio"/>
    <x v="4"/>
    <n v="25"/>
  </r>
  <r>
    <s v="Luz y teléfono"/>
    <x v="1"/>
    <n v="189"/>
  </r>
  <r>
    <s v="Cervezas y juegos"/>
    <x v="2"/>
    <n v="15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Gasolina"/>
    <x v="0"/>
    <n v="320"/>
  </r>
  <r>
    <s v="Hipoteca"/>
    <x v="1"/>
    <n v="650"/>
  </r>
  <r>
    <s v="Cena amigos"/>
    <x v="2"/>
    <n v="80"/>
  </r>
  <r>
    <s v="Comida del mes"/>
    <x v="3"/>
    <n v="280"/>
  </r>
  <r>
    <s v="Entrenamientos tenis"/>
    <x v="4"/>
    <n v="120"/>
  </r>
  <r>
    <s v="Gimnasio"/>
    <x v="4"/>
    <n v="25"/>
  </r>
  <r>
    <s v="Luz y teléfono"/>
    <x v="1"/>
    <n v="200"/>
  </r>
  <r>
    <s v="Cervezas y juegos"/>
    <x v="2"/>
    <n v="100"/>
  </r>
  <r>
    <s v="Ropa trabajo"/>
    <x v="5"/>
    <n v="150"/>
  </r>
  <r>
    <s v="Seguro coche"/>
    <x v="0"/>
    <n v="58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Gasolina"/>
    <x v="0"/>
    <n v="320"/>
  </r>
  <r>
    <s v="Hipoteca"/>
    <x v="1"/>
    <n v="650"/>
  </r>
  <r>
    <s v="Cena amigos"/>
    <x v="2"/>
    <n v="45"/>
  </r>
  <r>
    <s v="Comida del mes"/>
    <x v="3"/>
    <n v="300"/>
  </r>
  <r>
    <s v="Entrenamientos tenis"/>
    <x v="4"/>
    <n v="120"/>
  </r>
  <r>
    <s v="Gimnasio"/>
    <x v="4"/>
    <n v="25"/>
  </r>
  <r>
    <s v="Luz y teléfono"/>
    <x v="1"/>
    <n v="200"/>
  </r>
  <r>
    <s v="Cervezas y juegos"/>
    <x v="2"/>
    <n v="8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Gasolina"/>
    <x v="0"/>
    <n v="350"/>
  </r>
  <r>
    <s v="Hipoteca"/>
    <x v="1"/>
    <n v="650"/>
  </r>
  <r>
    <s v="Cena amigos"/>
    <x v="2"/>
    <n v="60"/>
  </r>
  <r>
    <s v="Comida del mes"/>
    <x v="3"/>
    <n v="340"/>
  </r>
  <r>
    <s v="Entrenamientos tenis"/>
    <x v="4"/>
    <n v="120"/>
  </r>
  <r>
    <s v="Gimnasio"/>
    <x v="4"/>
    <n v="25"/>
  </r>
  <r>
    <s v="Luz y teléfono"/>
    <x v="1"/>
    <n v="180"/>
  </r>
  <r>
    <s v="Cervezas y juegos"/>
    <x v="2"/>
    <n v="140"/>
  </r>
  <r>
    <s v="Ropa trabajo"/>
    <x v="5"/>
    <n v="5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Gasolina"/>
    <x v="0"/>
    <n v="320"/>
  </r>
  <r>
    <s v="Hipoteca"/>
    <x v="1"/>
    <n v="650"/>
  </r>
  <r>
    <s v="Cena amigos"/>
    <x v="2"/>
    <n v="50"/>
  </r>
  <r>
    <s v="Comida del mes"/>
    <x v="3"/>
    <n v="340"/>
  </r>
  <r>
    <s v="Entrenamientos tenis"/>
    <x v="4"/>
    <n v="120"/>
  </r>
  <r>
    <s v="Gimnasio"/>
    <x v="4"/>
    <n v="25"/>
  </r>
  <r>
    <s v="Luz y teléfono"/>
    <x v="1"/>
    <n v="220"/>
  </r>
  <r>
    <s v="Cervezas y juegos"/>
    <x v="2"/>
    <n v="20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Gasolina"/>
    <x v="0"/>
    <n v="280"/>
  </r>
  <r>
    <s v="Hipoteca"/>
    <x v="1"/>
    <n v="650"/>
  </r>
  <r>
    <s v="Cena amigos"/>
    <x v="2"/>
    <n v="60"/>
  </r>
  <r>
    <s v="Comida del mes"/>
    <x v="3"/>
    <n v="300"/>
  </r>
  <r>
    <s v="Entrenamientos tenis"/>
    <x v="4"/>
    <n v="120"/>
  </r>
  <r>
    <s v="Gimnasio"/>
    <x v="4"/>
    <n v="25"/>
  </r>
  <r>
    <s v="Luz y teléfono"/>
    <x v="1"/>
    <n v="250"/>
  </r>
  <r>
    <s v="Cervezas y juegos"/>
    <x v="2"/>
    <n v="12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Gasolina"/>
    <x v="0"/>
    <n v="260"/>
  </r>
  <r>
    <s v="Hipoteca"/>
    <x v="1"/>
    <n v="650"/>
  </r>
  <r>
    <s v="Cena amigos"/>
    <x v="2"/>
    <n v="45"/>
  </r>
  <r>
    <s v="Comida del mes"/>
    <x v="3"/>
    <n v="290"/>
  </r>
  <r>
    <s v="Entrenamientos tenis"/>
    <x v="4"/>
    <n v="120"/>
  </r>
  <r>
    <s v="Gimnasio"/>
    <x v="4"/>
    <n v="25"/>
  </r>
  <r>
    <s v="Luz y teléfono"/>
    <x v="1"/>
    <n v="200"/>
  </r>
  <r>
    <s v="Cervezas y juegos"/>
    <x v="2"/>
    <n v="125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Gasolina"/>
    <x v="0"/>
    <n v="320"/>
  </r>
  <r>
    <s v="Hipoteca"/>
    <x v="1"/>
    <n v="650"/>
  </r>
  <r>
    <s v="Cena amigos"/>
    <x v="2"/>
    <n v="50"/>
  </r>
  <r>
    <s v="Comida del mes"/>
    <x v="3"/>
    <n v="320"/>
  </r>
  <r>
    <s v="Entrenamientos tenis"/>
    <x v="4"/>
    <n v="120"/>
  </r>
  <r>
    <s v="Gimnasio"/>
    <x v="4"/>
    <n v="25"/>
  </r>
  <r>
    <s v="Luz y teléfono"/>
    <x v="1"/>
    <n v="200"/>
  </r>
  <r>
    <s v="Cervezas y juegos"/>
    <x v="2"/>
    <n v="125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Gasolina"/>
    <x v="0"/>
    <n v="340"/>
  </r>
  <r>
    <s v="Hipoteca"/>
    <x v="1"/>
    <n v="650"/>
  </r>
  <r>
    <s v="Cena amigos"/>
    <x v="2"/>
    <n v="80"/>
  </r>
  <r>
    <s v="Comida del mes"/>
    <x v="3"/>
    <n v="320"/>
  </r>
  <r>
    <s v="Entrenamientos tenis"/>
    <x v="4"/>
    <n v="120"/>
  </r>
  <r>
    <s v="Gimnasio"/>
    <x v="4"/>
    <n v="25"/>
  </r>
  <r>
    <s v="Luz y teléfono"/>
    <x v="1"/>
    <n v="220"/>
  </r>
  <r>
    <s v="Cervezas y juegos"/>
    <x v="2"/>
    <n v="113"/>
  </r>
  <r>
    <s v="Ropa trabajo"/>
    <x v="5"/>
    <n v="25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Gasolina"/>
    <x v="0"/>
    <n v="260"/>
  </r>
  <r>
    <s v="Hipoteca"/>
    <x v="1"/>
    <n v="650"/>
  </r>
  <r>
    <s v="Cena amigos"/>
    <x v="2"/>
    <n v="35"/>
  </r>
  <r>
    <s v="Comida del mes"/>
    <x v="3"/>
    <n v="340"/>
  </r>
  <r>
    <s v="Entrenamientos tenis"/>
    <x v="4"/>
    <n v="120"/>
  </r>
  <r>
    <s v="Gimnasio"/>
    <x v="4"/>
    <n v="25"/>
  </r>
  <r>
    <s v="Luz y teléfono"/>
    <x v="1"/>
    <n v="188"/>
  </r>
  <r>
    <s v="Cervezas y juegos"/>
    <x v="2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89A43-5155-4F55-BC10-759D02D08D91}" name="gastos_enero_por_categoria" cacheId="0" applyNumberFormats="0" applyBorderFormats="0" applyFontFormats="0" applyPatternFormats="0" applyAlignmentFormats="0" applyWidthHeightFormats="1" dataCaption="Valores" grandTotalCaption="TOTAL" updatedVersion="8" minRefreshableVersion="3" itemPrintTitles="1" createdVersion="8" indent="0" outline="1" outlineData="1" multipleFieldFilters="0" chartFormat="85" rowHeaderCaption="CATEGORÍA" fieldListSortAscending="1">
  <location ref="L4:M11" firstHeaderRow="1" firstDataRow="1" firstDataCol="1"/>
  <pivotFields count="3">
    <pivotField showAll="0"/>
    <pivotField axis="axisRow" showAll="0" sortType="descending">
      <items count="12">
        <item m="1" x="6"/>
        <item x="0"/>
        <item x="5"/>
        <item m="1" x="10"/>
        <item x="2"/>
        <item m="1" x="7"/>
        <item x="4"/>
        <item m="1" x="8"/>
        <item x="3"/>
        <item x="1"/>
        <item m="1" x="9"/>
        <item t="default"/>
      </items>
    </pivotField>
    <pivotField dataField="1" showAll="0"/>
  </pivotFields>
  <rowFields count="1">
    <field x="1"/>
  </rowFields>
  <rowItems count="7">
    <i>
      <x v="1"/>
    </i>
    <i>
      <x v="2"/>
    </i>
    <i>
      <x v="4"/>
    </i>
    <i>
      <x v="6"/>
    </i>
    <i>
      <x v="8"/>
    </i>
    <i>
      <x v="9"/>
    </i>
    <i t="grand">
      <x/>
    </i>
  </rowItems>
  <colItems count="1">
    <i/>
  </colItems>
  <dataFields count="1">
    <dataField name="Suma" fld="2" baseField="0" baseItem="0" numFmtId="164"/>
  </dataFields>
  <formats count="13">
    <format dxfId="584">
      <pivotArea outline="0" collapsedLevelsAreSubtotals="1" fieldPosition="0"/>
    </format>
    <format dxfId="583">
      <pivotArea outline="0" collapsedLevelsAreSubtotals="1" fieldPosition="0"/>
    </format>
    <format dxfId="582">
      <pivotArea outline="0" collapsedLevelsAreSubtotals="1" fieldPosition="0"/>
    </format>
    <format dxfId="581">
      <pivotArea dataOnly="0" labelOnly="1" fieldPosition="0">
        <references count="1">
          <reference field="1" count="0"/>
        </references>
      </pivotArea>
    </format>
    <format dxfId="580">
      <pivotArea dataOnly="0" labelOnly="1" fieldPosition="0">
        <references count="1">
          <reference field="1" count="0"/>
        </references>
      </pivotArea>
    </format>
    <format dxfId="579">
      <pivotArea dataOnly="0" outline="0" axis="axisValues" fieldPosition="0"/>
    </format>
    <format dxfId="578">
      <pivotArea dataOnly="0" labelOnly="1" outline="0" axis="axisValues" fieldPosition="0"/>
    </format>
    <format dxfId="577">
      <pivotArea dataOnly="0" labelOnly="1" outline="0" axis="axisValues" fieldPosition="0"/>
    </format>
    <format dxfId="576">
      <pivotArea field="1" type="button" dataOnly="0" labelOnly="1" outline="0" axis="axisRow" fieldPosition="0"/>
    </format>
    <format dxfId="575">
      <pivotArea field="1" type="button" dataOnly="0" labelOnly="1" outline="0" axis="axisRow" fieldPosition="0"/>
    </format>
    <format dxfId="574">
      <pivotArea dataOnly="0" grandRow="1" fieldPosition="0"/>
    </format>
    <format dxfId="573">
      <pivotArea dataOnly="0" grandRow="1" fieldPosition="0"/>
    </format>
    <format dxfId="572">
      <pivotArea dataOnly="0" grandRow="1" fieldPosition="0"/>
    </format>
  </formats>
  <chartFormats count="12">
    <chartFormat chart="4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Tabla morada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E97149-C200-41A1-B518-BFAD893FAC55}" name="gastos_febrero_por_categoria" cacheId="1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59" rowHeaderCaption="CATEGORÍA">
  <location ref="L4:M11" firstHeaderRow="1" firstDataRow="1" firstDataCol="1"/>
  <pivotFields count="3">
    <pivotField showAll="0"/>
    <pivotField axis="axisRow" showAll="0" sortType="descending">
      <items count="12">
        <item m="1" x="6"/>
        <item x="0"/>
        <item x="5"/>
        <item m="1" x="10"/>
        <item x="2"/>
        <item m="1" x="7"/>
        <item x="4"/>
        <item m="1" x="8"/>
        <item x="3"/>
        <item x="1"/>
        <item m="1" x="9"/>
        <item t="default"/>
      </items>
    </pivotField>
    <pivotField dataField="1" showAll="0"/>
  </pivotFields>
  <rowFields count="1">
    <field x="1"/>
  </rowFields>
  <rowItems count="7">
    <i>
      <x v="1"/>
    </i>
    <i>
      <x v="2"/>
    </i>
    <i>
      <x v="4"/>
    </i>
    <i>
      <x v="6"/>
    </i>
    <i>
      <x v="8"/>
    </i>
    <i>
      <x v="9"/>
    </i>
    <i t="grand">
      <x/>
    </i>
  </rowItems>
  <colItems count="1">
    <i/>
  </colItems>
  <dataFields count="1">
    <dataField name="Total" fld="2" baseField="0" baseItem="0"/>
  </dataFields>
  <formats count="43">
    <format dxfId="563">
      <pivotArea field="1" type="button" dataOnly="0" labelOnly="1" outline="0" axis="axisRow" fieldPosition="0"/>
    </format>
    <format dxfId="562">
      <pivotArea dataOnly="0" labelOnly="1" outline="0" axis="axisValues" fieldPosition="0"/>
    </format>
    <format dxfId="561">
      <pivotArea grandRow="1" outline="0" collapsedLevelsAreSubtotals="1" fieldPosition="0"/>
    </format>
    <format dxfId="560">
      <pivotArea dataOnly="0" labelOnly="1" grandRow="1" outline="0" fieldPosition="0"/>
    </format>
    <format dxfId="559">
      <pivotArea type="all" dataOnly="0" outline="0" fieldPosition="0"/>
    </format>
    <format dxfId="558">
      <pivotArea outline="0" collapsedLevelsAreSubtotals="1" fieldPosition="0"/>
    </format>
    <format dxfId="557">
      <pivotArea field="1" type="button" dataOnly="0" labelOnly="1" outline="0" axis="axisRow" fieldPosition="0"/>
    </format>
    <format dxfId="556">
      <pivotArea dataOnly="0" labelOnly="1" fieldPosition="0">
        <references count="1">
          <reference field="1" count="0"/>
        </references>
      </pivotArea>
    </format>
    <format dxfId="555">
      <pivotArea dataOnly="0" labelOnly="1" grandRow="1" outline="0" fieldPosition="0"/>
    </format>
    <format dxfId="554">
      <pivotArea dataOnly="0" labelOnly="1" outline="0" axis="axisValues" fieldPosition="0"/>
    </format>
    <format dxfId="553">
      <pivotArea type="all" dataOnly="0" outline="0" fieldPosition="0"/>
    </format>
    <format dxfId="552">
      <pivotArea outline="0" collapsedLevelsAreSubtotals="1" fieldPosition="0"/>
    </format>
    <format dxfId="551">
      <pivotArea field="1" type="button" dataOnly="0" labelOnly="1" outline="0" axis="axisRow" fieldPosition="0"/>
    </format>
    <format dxfId="550">
      <pivotArea dataOnly="0" labelOnly="1" fieldPosition="0">
        <references count="1">
          <reference field="1" count="0"/>
        </references>
      </pivotArea>
    </format>
    <format dxfId="549">
      <pivotArea dataOnly="0" labelOnly="1" grandRow="1" outline="0" fieldPosition="0"/>
    </format>
    <format dxfId="548">
      <pivotArea dataOnly="0" labelOnly="1" outline="0" axis="axisValues" fieldPosition="0"/>
    </format>
    <format dxfId="547">
      <pivotArea outline="0" collapsedLevelsAreSubtotals="1" fieldPosition="0"/>
    </format>
    <format dxfId="546">
      <pivotArea dataOnly="0" labelOnly="1" outline="0" axis="axisValues" fieldPosition="0"/>
    </format>
    <format dxfId="545">
      <pivotArea type="all" dataOnly="0" outline="0" fieldPosition="0"/>
    </format>
    <format dxfId="544">
      <pivotArea field="1" type="button" dataOnly="0" labelOnly="1" outline="0" axis="axisRow" fieldPosition="0"/>
    </format>
    <format dxfId="543">
      <pivotArea dataOnly="0" labelOnly="1" grandRow="1" outline="0" fieldPosition="0"/>
    </format>
    <format dxfId="542">
      <pivotArea dataOnly="0" labelOnly="1" outline="0" axis="axisValues" fieldPosition="0"/>
    </format>
    <format dxfId="541">
      <pivotArea field="1" type="button" dataOnly="0" labelOnly="1" outline="0" axis="axisRow" fieldPosition="0"/>
    </format>
    <format dxfId="540">
      <pivotArea dataOnly="0" labelOnly="1" outline="0" axis="axisValues" fieldPosition="0"/>
    </format>
    <format dxfId="539">
      <pivotArea grandRow="1" outline="0" collapsedLevelsAreSubtotals="1" fieldPosition="0"/>
    </format>
    <format dxfId="538">
      <pivotArea dataOnly="0" labelOnly="1" grandRow="1" outline="0" fieldPosition="0"/>
    </format>
    <format dxfId="537">
      <pivotArea field="1" type="button" dataOnly="0" labelOnly="1" outline="0" axis="axisRow" fieldPosition="0"/>
    </format>
    <format dxfId="536">
      <pivotArea dataOnly="0" labelOnly="1" outline="0" axis="axisValues" fieldPosition="0"/>
    </format>
    <format dxfId="535">
      <pivotArea grandRow="1" outline="0" collapsedLevelsAreSubtotals="1" fieldPosition="0"/>
    </format>
    <format dxfId="534">
      <pivotArea dataOnly="0" labelOnly="1" grandRow="1" outline="0" fieldPosition="0"/>
    </format>
    <format dxfId="533">
      <pivotArea type="all" dataOnly="0" outline="0" fieldPosition="0"/>
    </format>
    <format dxfId="532">
      <pivotArea outline="0" collapsedLevelsAreSubtotals="1" fieldPosition="0"/>
    </format>
    <format dxfId="531">
      <pivotArea field="1" type="button" dataOnly="0" labelOnly="1" outline="0" axis="axisRow" fieldPosition="0"/>
    </format>
    <format dxfId="530">
      <pivotArea dataOnly="0" labelOnly="1" fieldPosition="0">
        <references count="1">
          <reference field="1" count="0"/>
        </references>
      </pivotArea>
    </format>
    <format dxfId="529">
      <pivotArea dataOnly="0" labelOnly="1" grandRow="1" outline="0" fieldPosition="0"/>
    </format>
    <format dxfId="528">
      <pivotArea dataOnly="0" labelOnly="1" outline="0" axis="axisValues" fieldPosition="0"/>
    </format>
    <format dxfId="527">
      <pivotArea collapsedLevelsAreSubtotals="1" fieldPosition="0">
        <references count="1">
          <reference field="1" count="0"/>
        </references>
      </pivotArea>
    </format>
    <format dxfId="526">
      <pivotArea dataOnly="0" labelOnly="1" fieldPosition="0">
        <references count="1">
          <reference field="1" count="0"/>
        </references>
      </pivotArea>
    </format>
    <format dxfId="525">
      <pivotArea field="1" type="button" dataOnly="0" labelOnly="1" outline="0" axis="axisRow" fieldPosition="0"/>
    </format>
    <format dxfId="524">
      <pivotArea dataOnly="0" labelOnly="1" outline="0" axis="axisValues" fieldPosition="0"/>
    </format>
    <format dxfId="523">
      <pivotArea grandRow="1" outline="0" collapsedLevelsAreSubtotals="1" fieldPosition="0"/>
    </format>
    <format dxfId="522">
      <pivotArea dataOnly="0" labelOnly="1" grandRow="1" outline="0" fieldPosition="0"/>
    </format>
    <format dxfId="521">
      <pivotArea grandRow="1" outline="0" collapsedLevelsAreSubtotals="1" fieldPosition="0"/>
    </format>
  </formats>
  <chartFormats count="1">
    <chartFormat chart="5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233B6-6CED-4253-8C31-9A2C91C4C46E}" name="gastos_marzo_por_categoria" cacheId="2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47" rowHeaderCaption="CATEGORÍA">
  <location ref="L4:M10" firstHeaderRow="1" firstDataRow="1" firstDataCol="1"/>
  <pivotFields count="3">
    <pivotField showAll="0"/>
    <pivotField axis="axisRow" showAll="0" sortType="descending">
      <items count="11">
        <item m="1" x="6"/>
        <item x="0"/>
        <item m="1" x="5"/>
        <item x="2"/>
        <item m="1" x="7"/>
        <item x="4"/>
        <item m="1" x="8"/>
        <item x="3"/>
        <item x="1"/>
        <item m="1" x="9"/>
        <item t="default"/>
      </items>
    </pivotField>
    <pivotField dataField="1" showAll="0"/>
  </pivotFields>
  <rowFields count="1">
    <field x="1"/>
  </rowFields>
  <rowItems count="6">
    <i>
      <x v="1"/>
    </i>
    <i>
      <x v="3"/>
    </i>
    <i>
      <x v="5"/>
    </i>
    <i>
      <x v="7"/>
    </i>
    <i>
      <x v="8"/>
    </i>
    <i t="grand">
      <x/>
    </i>
  </rowItems>
  <colItems count="1">
    <i/>
  </colItems>
  <dataFields count="1">
    <dataField name="Total" fld="2" baseField="0" baseItem="0"/>
  </dataFields>
  <formats count="43">
    <format dxfId="512">
      <pivotArea field="1" type="button" dataOnly="0" labelOnly="1" outline="0" axis="axisRow" fieldPosition="0"/>
    </format>
    <format dxfId="511">
      <pivotArea dataOnly="0" labelOnly="1" outline="0" axis="axisValues" fieldPosition="0"/>
    </format>
    <format dxfId="510">
      <pivotArea grandRow="1" outline="0" collapsedLevelsAreSubtotals="1" fieldPosition="0"/>
    </format>
    <format dxfId="509">
      <pivotArea dataOnly="0" labelOnly="1" grandRow="1" outline="0" fieldPosition="0"/>
    </format>
    <format dxfId="508">
      <pivotArea type="all" dataOnly="0" outline="0" fieldPosition="0"/>
    </format>
    <format dxfId="507">
      <pivotArea outline="0" collapsedLevelsAreSubtotals="1" fieldPosition="0"/>
    </format>
    <format dxfId="506">
      <pivotArea field="1" type="button" dataOnly="0" labelOnly="1" outline="0" axis="axisRow" fieldPosition="0"/>
    </format>
    <format dxfId="505">
      <pivotArea dataOnly="0" labelOnly="1" fieldPosition="0">
        <references count="1">
          <reference field="1" count="0"/>
        </references>
      </pivotArea>
    </format>
    <format dxfId="504">
      <pivotArea dataOnly="0" labelOnly="1" grandRow="1" outline="0" fieldPosition="0"/>
    </format>
    <format dxfId="503">
      <pivotArea dataOnly="0" labelOnly="1" outline="0" axis="axisValues" fieldPosition="0"/>
    </format>
    <format dxfId="502">
      <pivotArea type="all" dataOnly="0" outline="0" fieldPosition="0"/>
    </format>
    <format dxfId="501">
      <pivotArea outline="0" collapsedLevelsAreSubtotals="1" fieldPosition="0"/>
    </format>
    <format dxfId="500">
      <pivotArea field="1" type="button" dataOnly="0" labelOnly="1" outline="0" axis="axisRow" fieldPosition="0"/>
    </format>
    <format dxfId="499">
      <pivotArea dataOnly="0" labelOnly="1" fieldPosition="0">
        <references count="1">
          <reference field="1" count="0"/>
        </references>
      </pivotArea>
    </format>
    <format dxfId="498">
      <pivotArea dataOnly="0" labelOnly="1" grandRow="1" outline="0" fieldPosition="0"/>
    </format>
    <format dxfId="497">
      <pivotArea dataOnly="0" labelOnly="1" outline="0" axis="axisValues" fieldPosition="0"/>
    </format>
    <format dxfId="496">
      <pivotArea outline="0" collapsedLevelsAreSubtotals="1" fieldPosition="0"/>
    </format>
    <format dxfId="495">
      <pivotArea dataOnly="0" labelOnly="1" outline="0" axis="axisValues" fieldPosition="0"/>
    </format>
    <format dxfId="494">
      <pivotArea type="all" dataOnly="0" outline="0" fieldPosition="0"/>
    </format>
    <format dxfId="493">
      <pivotArea field="1" type="button" dataOnly="0" labelOnly="1" outline="0" axis="axisRow" fieldPosition="0"/>
    </format>
    <format dxfId="492">
      <pivotArea dataOnly="0" labelOnly="1" grandRow="1" outline="0" fieldPosition="0"/>
    </format>
    <format dxfId="491">
      <pivotArea dataOnly="0" labelOnly="1" outline="0" axis="axisValues" fieldPosition="0"/>
    </format>
    <format dxfId="490">
      <pivotArea field="1" type="button" dataOnly="0" labelOnly="1" outline="0" axis="axisRow" fieldPosition="0"/>
    </format>
    <format dxfId="489">
      <pivotArea dataOnly="0" labelOnly="1" outline="0" axis="axisValues" fieldPosition="0"/>
    </format>
    <format dxfId="488">
      <pivotArea grandRow="1" outline="0" collapsedLevelsAreSubtotals="1" fieldPosition="0"/>
    </format>
    <format dxfId="487">
      <pivotArea dataOnly="0" labelOnly="1" grandRow="1" outline="0" fieldPosition="0"/>
    </format>
    <format dxfId="486">
      <pivotArea field="1" type="button" dataOnly="0" labelOnly="1" outline="0" axis="axisRow" fieldPosition="0"/>
    </format>
    <format dxfId="485">
      <pivotArea dataOnly="0" labelOnly="1" outline="0" axis="axisValues" fieldPosition="0"/>
    </format>
    <format dxfId="484">
      <pivotArea grandRow="1" outline="0" collapsedLevelsAreSubtotals="1" fieldPosition="0"/>
    </format>
    <format dxfId="483">
      <pivotArea dataOnly="0" labelOnly="1" grandRow="1" outline="0" fieldPosition="0"/>
    </format>
    <format dxfId="482">
      <pivotArea type="all" dataOnly="0" outline="0" fieldPosition="0"/>
    </format>
    <format dxfId="481">
      <pivotArea outline="0" collapsedLevelsAreSubtotals="1" fieldPosition="0"/>
    </format>
    <format dxfId="480">
      <pivotArea field="1" type="button" dataOnly="0" labelOnly="1" outline="0" axis="axisRow" fieldPosition="0"/>
    </format>
    <format dxfId="479">
      <pivotArea dataOnly="0" labelOnly="1" fieldPosition="0">
        <references count="1">
          <reference field="1" count="0"/>
        </references>
      </pivotArea>
    </format>
    <format dxfId="478">
      <pivotArea dataOnly="0" labelOnly="1" grandRow="1" outline="0" fieldPosition="0"/>
    </format>
    <format dxfId="477">
      <pivotArea dataOnly="0" labelOnly="1" outline="0" axis="axisValues" fieldPosition="0"/>
    </format>
    <format dxfId="476">
      <pivotArea collapsedLevelsAreSubtotals="1" fieldPosition="0">
        <references count="1">
          <reference field="1" count="0"/>
        </references>
      </pivotArea>
    </format>
    <format dxfId="475">
      <pivotArea dataOnly="0" labelOnly="1" fieldPosition="0">
        <references count="1">
          <reference field="1" count="0"/>
        </references>
      </pivotArea>
    </format>
    <format dxfId="474">
      <pivotArea field="1" type="button" dataOnly="0" labelOnly="1" outline="0" axis="axisRow" fieldPosition="0"/>
    </format>
    <format dxfId="473">
      <pivotArea dataOnly="0" labelOnly="1" outline="0" axis="axisValues" fieldPosition="0"/>
    </format>
    <format dxfId="472">
      <pivotArea grandRow="1" outline="0" collapsedLevelsAreSubtotals="1" fieldPosition="0"/>
    </format>
    <format dxfId="471">
      <pivotArea dataOnly="0" labelOnly="1" grandRow="1" outline="0" fieldPosition="0"/>
    </format>
    <format dxfId="470">
      <pivotArea grandRow="1" outline="0" collapsedLevelsAreSubtotals="1" fieldPosition="0"/>
    </format>
  </formats>
  <chartFormats count="1">
    <chartFormat chart="4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02140-F188-4BBF-9413-14FB7A413D87}" name="gastos_abril_por_categoria" cacheId="3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47" rowHeaderCaption="CATEGORÍA">
  <location ref="L4:M11" firstHeaderRow="1" firstDataRow="1" firstDataCol="1"/>
  <pivotFields count="3">
    <pivotField showAll="0"/>
    <pivotField axis="axisRow" showAll="0" sortType="descending">
      <items count="11">
        <item m="1" x="6"/>
        <item x="0"/>
        <item x="5"/>
        <item x="2"/>
        <item m="1" x="7"/>
        <item x="4"/>
        <item m="1" x="8"/>
        <item x="3"/>
        <item x="1"/>
        <item m="1" x="9"/>
        <item t="default"/>
      </items>
    </pivotField>
    <pivotField dataField="1" showAll="0"/>
  </pivotFields>
  <rowFields count="1">
    <field x="1"/>
  </rowFields>
  <rowItems count="7">
    <i>
      <x v="1"/>
    </i>
    <i>
      <x v="2"/>
    </i>
    <i>
      <x v="3"/>
    </i>
    <i>
      <x v="5"/>
    </i>
    <i>
      <x v="7"/>
    </i>
    <i>
      <x v="8"/>
    </i>
    <i t="grand">
      <x/>
    </i>
  </rowItems>
  <colItems count="1">
    <i/>
  </colItems>
  <dataFields count="1">
    <dataField name="Total" fld="2" baseField="0" baseItem="0"/>
  </dataFields>
  <formats count="43">
    <format dxfId="461">
      <pivotArea field="1" type="button" dataOnly="0" labelOnly="1" outline="0" axis="axisRow" fieldPosition="0"/>
    </format>
    <format dxfId="460">
      <pivotArea dataOnly="0" labelOnly="1" outline="0" axis="axisValues" fieldPosition="0"/>
    </format>
    <format dxfId="459">
      <pivotArea grandRow="1" outline="0" collapsedLevelsAreSubtotals="1" fieldPosition="0"/>
    </format>
    <format dxfId="458">
      <pivotArea dataOnly="0" labelOnly="1" grandRow="1" outline="0" fieldPosition="0"/>
    </format>
    <format dxfId="457">
      <pivotArea type="all" dataOnly="0" outline="0" fieldPosition="0"/>
    </format>
    <format dxfId="456">
      <pivotArea outline="0" collapsedLevelsAreSubtotals="1" fieldPosition="0"/>
    </format>
    <format dxfId="455">
      <pivotArea field="1" type="button" dataOnly="0" labelOnly="1" outline="0" axis="axisRow" fieldPosition="0"/>
    </format>
    <format dxfId="454">
      <pivotArea dataOnly="0" labelOnly="1" fieldPosition="0">
        <references count="1">
          <reference field="1" count="0"/>
        </references>
      </pivotArea>
    </format>
    <format dxfId="453">
      <pivotArea dataOnly="0" labelOnly="1" grandRow="1" outline="0" fieldPosition="0"/>
    </format>
    <format dxfId="452">
      <pivotArea dataOnly="0" labelOnly="1" outline="0" axis="axisValues" fieldPosition="0"/>
    </format>
    <format dxfId="451">
      <pivotArea type="all" dataOnly="0" outline="0" fieldPosition="0"/>
    </format>
    <format dxfId="450">
      <pivotArea outline="0" collapsedLevelsAreSubtotals="1" fieldPosition="0"/>
    </format>
    <format dxfId="449">
      <pivotArea field="1" type="button" dataOnly="0" labelOnly="1" outline="0" axis="axisRow" fieldPosition="0"/>
    </format>
    <format dxfId="448">
      <pivotArea dataOnly="0" labelOnly="1" fieldPosition="0">
        <references count="1">
          <reference field="1" count="0"/>
        </references>
      </pivotArea>
    </format>
    <format dxfId="447">
      <pivotArea dataOnly="0" labelOnly="1" grandRow="1" outline="0" fieldPosition="0"/>
    </format>
    <format dxfId="446">
      <pivotArea dataOnly="0" labelOnly="1" outline="0" axis="axisValues" fieldPosition="0"/>
    </format>
    <format dxfId="445">
      <pivotArea outline="0" collapsedLevelsAreSubtotals="1" fieldPosition="0"/>
    </format>
    <format dxfId="444">
      <pivotArea dataOnly="0" labelOnly="1" outline="0" axis="axisValues" fieldPosition="0"/>
    </format>
    <format dxfId="443">
      <pivotArea type="all" dataOnly="0" outline="0" fieldPosition="0"/>
    </format>
    <format dxfId="442">
      <pivotArea field="1" type="button" dataOnly="0" labelOnly="1" outline="0" axis="axisRow" fieldPosition="0"/>
    </format>
    <format dxfId="441">
      <pivotArea dataOnly="0" labelOnly="1" grandRow="1" outline="0" fieldPosition="0"/>
    </format>
    <format dxfId="440">
      <pivotArea dataOnly="0" labelOnly="1" outline="0" axis="axisValues" fieldPosition="0"/>
    </format>
    <format dxfId="439">
      <pivotArea field="1" type="button" dataOnly="0" labelOnly="1" outline="0" axis="axisRow" fieldPosition="0"/>
    </format>
    <format dxfId="438">
      <pivotArea dataOnly="0" labelOnly="1" outline="0" axis="axisValues" fieldPosition="0"/>
    </format>
    <format dxfId="437">
      <pivotArea grandRow="1" outline="0" collapsedLevelsAreSubtotals="1" fieldPosition="0"/>
    </format>
    <format dxfId="436">
      <pivotArea dataOnly="0" labelOnly="1" grandRow="1" outline="0" fieldPosition="0"/>
    </format>
    <format dxfId="435">
      <pivotArea field="1" type="button" dataOnly="0" labelOnly="1" outline="0" axis="axisRow" fieldPosition="0"/>
    </format>
    <format dxfId="434">
      <pivotArea dataOnly="0" labelOnly="1" outline="0" axis="axisValues" fieldPosition="0"/>
    </format>
    <format dxfId="433">
      <pivotArea grandRow="1" outline="0" collapsedLevelsAreSubtotals="1" fieldPosition="0"/>
    </format>
    <format dxfId="432">
      <pivotArea dataOnly="0" labelOnly="1" grandRow="1" outline="0" fieldPosition="0"/>
    </format>
    <format dxfId="431">
      <pivotArea type="all" dataOnly="0" outline="0" fieldPosition="0"/>
    </format>
    <format dxfId="430">
      <pivotArea outline="0" collapsedLevelsAreSubtotals="1" fieldPosition="0"/>
    </format>
    <format dxfId="429">
      <pivotArea field="1" type="button" dataOnly="0" labelOnly="1" outline="0" axis="axisRow" fieldPosition="0"/>
    </format>
    <format dxfId="428">
      <pivotArea dataOnly="0" labelOnly="1" fieldPosition="0">
        <references count="1">
          <reference field="1" count="0"/>
        </references>
      </pivotArea>
    </format>
    <format dxfId="427">
      <pivotArea dataOnly="0" labelOnly="1" grandRow="1" outline="0" fieldPosition="0"/>
    </format>
    <format dxfId="426">
      <pivotArea dataOnly="0" labelOnly="1" outline="0" axis="axisValues" fieldPosition="0"/>
    </format>
    <format dxfId="425">
      <pivotArea collapsedLevelsAreSubtotals="1" fieldPosition="0">
        <references count="1">
          <reference field="1" count="0"/>
        </references>
      </pivotArea>
    </format>
    <format dxfId="424">
      <pivotArea dataOnly="0" labelOnly="1" fieldPosition="0">
        <references count="1">
          <reference field="1" count="0"/>
        </references>
      </pivotArea>
    </format>
    <format dxfId="423">
      <pivotArea field="1" type="button" dataOnly="0" labelOnly="1" outline="0" axis="axisRow" fieldPosition="0"/>
    </format>
    <format dxfId="422">
      <pivotArea dataOnly="0" labelOnly="1" outline="0" axis="axisValues" fieldPosition="0"/>
    </format>
    <format dxfId="421">
      <pivotArea grandRow="1" outline="0" collapsedLevelsAreSubtotals="1" fieldPosition="0"/>
    </format>
    <format dxfId="420">
      <pivotArea dataOnly="0" labelOnly="1" grandRow="1" outline="0" fieldPosition="0"/>
    </format>
    <format dxfId="419">
      <pivotArea grandRow="1" outline="0" collapsedLevelsAreSubtotals="1" fieldPosition="0"/>
    </format>
  </formats>
  <chartFormats count="1">
    <chartFormat chart="4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355AF-3DCA-4DE3-A7B9-964751DCD26E}" name="gastos_mayo_por_categoria" cacheId="4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47" rowHeaderCaption="CATEGORÍA">
  <location ref="L4:M10" firstHeaderRow="1" firstDataRow="1" firstDataCol="1"/>
  <pivotFields count="3">
    <pivotField showAll="0"/>
    <pivotField axis="axisRow" showAll="0" sortType="descending">
      <items count="10">
        <item m="1" x="5"/>
        <item x="0"/>
        <item x="2"/>
        <item m="1" x="6"/>
        <item x="4"/>
        <item m="1" x="7"/>
        <item x="3"/>
        <item x="1"/>
        <item m="1" x="8"/>
        <item t="default"/>
      </items>
    </pivotField>
    <pivotField dataField="1" showAll="0"/>
  </pivotFields>
  <rowFields count="1">
    <field x="1"/>
  </rowFields>
  <rowItems count="6">
    <i>
      <x v="1"/>
    </i>
    <i>
      <x v="2"/>
    </i>
    <i>
      <x v="4"/>
    </i>
    <i>
      <x v="6"/>
    </i>
    <i>
      <x v="7"/>
    </i>
    <i t="grand">
      <x/>
    </i>
  </rowItems>
  <colItems count="1">
    <i/>
  </colItems>
  <dataFields count="1">
    <dataField name="Total" fld="2" baseField="0" baseItem="0"/>
  </dataFields>
  <formats count="43">
    <format dxfId="410">
      <pivotArea field="1" type="button" dataOnly="0" labelOnly="1" outline="0" axis="axisRow" fieldPosition="0"/>
    </format>
    <format dxfId="409">
      <pivotArea dataOnly="0" labelOnly="1" outline="0" axis="axisValues" fieldPosition="0"/>
    </format>
    <format dxfId="408">
      <pivotArea grandRow="1" outline="0" collapsedLevelsAreSubtotals="1" fieldPosition="0"/>
    </format>
    <format dxfId="407">
      <pivotArea dataOnly="0" labelOnly="1" grandRow="1" outline="0" fieldPosition="0"/>
    </format>
    <format dxfId="406">
      <pivotArea type="all" dataOnly="0" outline="0" fieldPosition="0"/>
    </format>
    <format dxfId="405">
      <pivotArea outline="0" collapsedLevelsAreSubtotals="1" fieldPosition="0"/>
    </format>
    <format dxfId="404">
      <pivotArea field="1" type="button" dataOnly="0" labelOnly="1" outline="0" axis="axisRow" fieldPosition="0"/>
    </format>
    <format dxfId="403">
      <pivotArea dataOnly="0" labelOnly="1" fieldPosition="0">
        <references count="1">
          <reference field="1" count="0"/>
        </references>
      </pivotArea>
    </format>
    <format dxfId="402">
      <pivotArea dataOnly="0" labelOnly="1" grandRow="1" outline="0" fieldPosition="0"/>
    </format>
    <format dxfId="401">
      <pivotArea dataOnly="0" labelOnly="1" outline="0" axis="axisValues" fieldPosition="0"/>
    </format>
    <format dxfId="400">
      <pivotArea type="all" dataOnly="0" outline="0" fieldPosition="0"/>
    </format>
    <format dxfId="399">
      <pivotArea outline="0" collapsedLevelsAreSubtotals="1" fieldPosition="0"/>
    </format>
    <format dxfId="398">
      <pivotArea field="1" type="button" dataOnly="0" labelOnly="1" outline="0" axis="axisRow" fieldPosition="0"/>
    </format>
    <format dxfId="397">
      <pivotArea dataOnly="0" labelOnly="1" fieldPosition="0">
        <references count="1">
          <reference field="1" count="0"/>
        </references>
      </pivotArea>
    </format>
    <format dxfId="396">
      <pivotArea dataOnly="0" labelOnly="1" grandRow="1" outline="0" fieldPosition="0"/>
    </format>
    <format dxfId="395">
      <pivotArea dataOnly="0" labelOnly="1" outline="0" axis="axisValues" fieldPosition="0"/>
    </format>
    <format dxfId="394">
      <pivotArea outline="0" collapsedLevelsAreSubtotals="1" fieldPosition="0"/>
    </format>
    <format dxfId="393">
      <pivotArea dataOnly="0" labelOnly="1" outline="0" axis="axisValues" fieldPosition="0"/>
    </format>
    <format dxfId="392">
      <pivotArea type="all" dataOnly="0" outline="0" fieldPosition="0"/>
    </format>
    <format dxfId="391">
      <pivotArea field="1" type="button" dataOnly="0" labelOnly="1" outline="0" axis="axisRow" fieldPosition="0"/>
    </format>
    <format dxfId="390">
      <pivotArea dataOnly="0" labelOnly="1" grandRow="1" outline="0" fieldPosition="0"/>
    </format>
    <format dxfId="389">
      <pivotArea dataOnly="0" labelOnly="1" outline="0" axis="axisValues" fieldPosition="0"/>
    </format>
    <format dxfId="388">
      <pivotArea field="1" type="button" dataOnly="0" labelOnly="1" outline="0" axis="axisRow" fieldPosition="0"/>
    </format>
    <format dxfId="387">
      <pivotArea dataOnly="0" labelOnly="1" outline="0" axis="axisValues" fieldPosition="0"/>
    </format>
    <format dxfId="386">
      <pivotArea grandRow="1" outline="0" collapsedLevelsAreSubtotals="1" fieldPosition="0"/>
    </format>
    <format dxfId="385">
      <pivotArea dataOnly="0" labelOnly="1" grandRow="1" outline="0" fieldPosition="0"/>
    </format>
    <format dxfId="384">
      <pivotArea field="1" type="button" dataOnly="0" labelOnly="1" outline="0" axis="axisRow" fieldPosition="0"/>
    </format>
    <format dxfId="383">
      <pivotArea dataOnly="0" labelOnly="1" outline="0" axis="axisValues" fieldPosition="0"/>
    </format>
    <format dxfId="382">
      <pivotArea grandRow="1" outline="0" collapsedLevelsAreSubtotals="1" fieldPosition="0"/>
    </format>
    <format dxfId="381">
      <pivotArea dataOnly="0" labelOnly="1" grandRow="1" outline="0" fieldPosition="0"/>
    </format>
    <format dxfId="380">
      <pivotArea type="all" dataOnly="0" outline="0" fieldPosition="0"/>
    </format>
    <format dxfId="379">
      <pivotArea outline="0" collapsedLevelsAreSubtotals="1" fieldPosition="0"/>
    </format>
    <format dxfId="378">
      <pivotArea field="1" type="button" dataOnly="0" labelOnly="1" outline="0" axis="axisRow" fieldPosition="0"/>
    </format>
    <format dxfId="377">
      <pivotArea dataOnly="0" labelOnly="1" fieldPosition="0">
        <references count="1">
          <reference field="1" count="0"/>
        </references>
      </pivotArea>
    </format>
    <format dxfId="376">
      <pivotArea dataOnly="0" labelOnly="1" grandRow="1" outline="0" fieldPosition="0"/>
    </format>
    <format dxfId="375">
      <pivotArea dataOnly="0" labelOnly="1" outline="0" axis="axisValues" fieldPosition="0"/>
    </format>
    <format dxfId="374">
      <pivotArea collapsedLevelsAreSubtotals="1" fieldPosition="0">
        <references count="1">
          <reference field="1" count="0"/>
        </references>
      </pivotArea>
    </format>
    <format dxfId="373">
      <pivotArea dataOnly="0" labelOnly="1" fieldPosition="0">
        <references count="1">
          <reference field="1" count="0"/>
        </references>
      </pivotArea>
    </format>
    <format dxfId="372">
      <pivotArea field="1" type="button" dataOnly="0" labelOnly="1" outline="0" axis="axisRow" fieldPosition="0"/>
    </format>
    <format dxfId="371">
      <pivotArea dataOnly="0" labelOnly="1" outline="0" axis="axisValues" fieldPosition="0"/>
    </format>
    <format dxfId="370">
      <pivotArea grandRow="1" outline="0" collapsedLevelsAreSubtotals="1" fieldPosition="0"/>
    </format>
    <format dxfId="369">
      <pivotArea dataOnly="0" labelOnly="1" grandRow="1" outline="0" fieldPosition="0"/>
    </format>
    <format dxfId="368">
      <pivotArea grandRow="1" outline="0" collapsedLevelsAreSubtotals="1" fieldPosition="0"/>
    </format>
  </formats>
  <chartFormats count="1">
    <chartFormat chart="4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254A7-8319-422C-A9DC-B1235B7D3987}" name="gastos_junio_por_categoria" cacheId="5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47" rowHeaderCaption="CATEGORÍA">
  <location ref="L4:M11" firstHeaderRow="1" firstDataRow="1" firstDataCol="1"/>
  <pivotFields count="3">
    <pivotField showAll="0"/>
    <pivotField axis="axisRow" showAll="0" sortType="descending">
      <items count="11">
        <item m="1" x="6"/>
        <item x="0"/>
        <item x="5"/>
        <item x="2"/>
        <item m="1" x="7"/>
        <item x="4"/>
        <item m="1" x="8"/>
        <item x="3"/>
        <item x="1"/>
        <item m="1" x="9"/>
        <item t="default"/>
      </items>
    </pivotField>
    <pivotField dataField="1" showAll="0"/>
  </pivotFields>
  <rowFields count="1">
    <field x="1"/>
  </rowFields>
  <rowItems count="7">
    <i>
      <x v="1"/>
    </i>
    <i>
      <x v="2"/>
    </i>
    <i>
      <x v="3"/>
    </i>
    <i>
      <x v="5"/>
    </i>
    <i>
      <x v="7"/>
    </i>
    <i>
      <x v="8"/>
    </i>
    <i t="grand">
      <x/>
    </i>
  </rowItems>
  <colItems count="1">
    <i/>
  </colItems>
  <dataFields count="1">
    <dataField name="Total" fld="2" baseField="0" baseItem="0"/>
  </dataFields>
  <formats count="43">
    <format dxfId="359">
      <pivotArea field="1" type="button" dataOnly="0" labelOnly="1" outline="0" axis="axisRow" fieldPosition="0"/>
    </format>
    <format dxfId="358">
      <pivotArea dataOnly="0" labelOnly="1" outline="0" axis="axisValues" fieldPosition="0"/>
    </format>
    <format dxfId="357">
      <pivotArea grandRow="1" outline="0" collapsedLevelsAreSubtotals="1" fieldPosition="0"/>
    </format>
    <format dxfId="356">
      <pivotArea dataOnly="0" labelOnly="1" grandRow="1" outline="0" fieldPosition="0"/>
    </format>
    <format dxfId="355">
      <pivotArea type="all" dataOnly="0" outline="0" fieldPosition="0"/>
    </format>
    <format dxfId="354">
      <pivotArea outline="0" collapsedLevelsAreSubtotals="1" fieldPosition="0"/>
    </format>
    <format dxfId="353">
      <pivotArea field="1" type="button" dataOnly="0" labelOnly="1" outline="0" axis="axisRow" fieldPosition="0"/>
    </format>
    <format dxfId="352">
      <pivotArea dataOnly="0" labelOnly="1" fieldPosition="0">
        <references count="1">
          <reference field="1" count="0"/>
        </references>
      </pivotArea>
    </format>
    <format dxfId="351">
      <pivotArea dataOnly="0" labelOnly="1" grandRow="1" outline="0" fieldPosition="0"/>
    </format>
    <format dxfId="350">
      <pivotArea dataOnly="0" labelOnly="1" outline="0" axis="axisValues" fieldPosition="0"/>
    </format>
    <format dxfId="349">
      <pivotArea type="all" dataOnly="0" outline="0" fieldPosition="0"/>
    </format>
    <format dxfId="348">
      <pivotArea outline="0" collapsedLevelsAreSubtotals="1" fieldPosition="0"/>
    </format>
    <format dxfId="347">
      <pivotArea field="1" type="button" dataOnly="0" labelOnly="1" outline="0" axis="axisRow" fieldPosition="0"/>
    </format>
    <format dxfId="346">
      <pivotArea dataOnly="0" labelOnly="1" fieldPosition="0">
        <references count="1">
          <reference field="1" count="0"/>
        </references>
      </pivotArea>
    </format>
    <format dxfId="345">
      <pivotArea dataOnly="0" labelOnly="1" grandRow="1" outline="0" fieldPosition="0"/>
    </format>
    <format dxfId="344">
      <pivotArea dataOnly="0" labelOnly="1" outline="0" axis="axisValues" fieldPosition="0"/>
    </format>
    <format dxfId="343">
      <pivotArea outline="0" collapsedLevelsAreSubtotals="1" fieldPosition="0"/>
    </format>
    <format dxfId="342">
      <pivotArea dataOnly="0" labelOnly="1" outline="0" axis="axisValues" fieldPosition="0"/>
    </format>
    <format dxfId="341">
      <pivotArea type="all" dataOnly="0" outline="0" fieldPosition="0"/>
    </format>
    <format dxfId="340">
      <pivotArea field="1" type="button" dataOnly="0" labelOnly="1" outline="0" axis="axisRow" fieldPosition="0"/>
    </format>
    <format dxfId="339">
      <pivotArea dataOnly="0" labelOnly="1" grandRow="1" outline="0" fieldPosition="0"/>
    </format>
    <format dxfId="338">
      <pivotArea dataOnly="0" labelOnly="1" outline="0" axis="axisValues" fieldPosition="0"/>
    </format>
    <format dxfId="337">
      <pivotArea field="1" type="button" dataOnly="0" labelOnly="1" outline="0" axis="axisRow" fieldPosition="0"/>
    </format>
    <format dxfId="336">
      <pivotArea dataOnly="0" labelOnly="1" outline="0" axis="axisValues" fieldPosition="0"/>
    </format>
    <format dxfId="335">
      <pivotArea grandRow="1" outline="0" collapsedLevelsAreSubtotals="1" fieldPosition="0"/>
    </format>
    <format dxfId="334">
      <pivotArea dataOnly="0" labelOnly="1" grandRow="1" outline="0" fieldPosition="0"/>
    </format>
    <format dxfId="333">
      <pivotArea field="1" type="button" dataOnly="0" labelOnly="1" outline="0" axis="axisRow" fieldPosition="0"/>
    </format>
    <format dxfId="332">
      <pivotArea dataOnly="0" labelOnly="1" outline="0" axis="axisValues" fieldPosition="0"/>
    </format>
    <format dxfId="331">
      <pivotArea grandRow="1" outline="0" collapsedLevelsAreSubtotals="1" fieldPosition="0"/>
    </format>
    <format dxfId="330">
      <pivotArea dataOnly="0" labelOnly="1" grandRow="1" outline="0" fieldPosition="0"/>
    </format>
    <format dxfId="329">
      <pivotArea type="all" dataOnly="0" outline="0" fieldPosition="0"/>
    </format>
    <format dxfId="328">
      <pivotArea outline="0" collapsedLevelsAreSubtotals="1" fieldPosition="0"/>
    </format>
    <format dxfId="327">
      <pivotArea field="1" type="button" dataOnly="0" labelOnly="1" outline="0" axis="axisRow" fieldPosition="0"/>
    </format>
    <format dxfId="326">
      <pivotArea dataOnly="0" labelOnly="1" fieldPosition="0">
        <references count="1">
          <reference field="1" count="0"/>
        </references>
      </pivotArea>
    </format>
    <format dxfId="325">
      <pivotArea dataOnly="0" labelOnly="1" grandRow="1" outline="0" fieldPosition="0"/>
    </format>
    <format dxfId="324">
      <pivotArea dataOnly="0" labelOnly="1" outline="0" axis="axisValues" fieldPosition="0"/>
    </format>
    <format dxfId="323">
      <pivotArea collapsedLevelsAreSubtotals="1" fieldPosition="0">
        <references count="1">
          <reference field="1" count="0"/>
        </references>
      </pivotArea>
    </format>
    <format dxfId="322">
      <pivotArea dataOnly="0" labelOnly="1" fieldPosition="0">
        <references count="1">
          <reference field="1" count="0"/>
        </references>
      </pivotArea>
    </format>
    <format dxfId="321">
      <pivotArea field="1" type="button" dataOnly="0" labelOnly="1" outline="0" axis="axisRow" fieldPosition="0"/>
    </format>
    <format dxfId="320">
      <pivotArea dataOnly="0" labelOnly="1" outline="0" axis="axisValues" fieldPosition="0"/>
    </format>
    <format dxfId="319">
      <pivotArea grandRow="1" outline="0" collapsedLevelsAreSubtotals="1" fieldPosition="0"/>
    </format>
    <format dxfId="318">
      <pivotArea dataOnly="0" labelOnly="1" grandRow="1" outline="0" fieldPosition="0"/>
    </format>
    <format dxfId="317">
      <pivotArea grandRow="1" outline="0" collapsedLevelsAreSubtotals="1" fieldPosition="0"/>
    </format>
  </formats>
  <chartFormats count="1">
    <chartFormat chart="4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3C238F-089D-49AD-9B04-B5702B325F56}" name="gastos_julio_por_categoria" cacheId="6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47" rowHeaderCaption="CATEGORÍA">
  <location ref="L4:M10" firstHeaderRow="1" firstDataRow="1" firstDataCol="1"/>
  <pivotFields count="3">
    <pivotField showAll="0"/>
    <pivotField axis="axisRow" showAll="0" sortType="descending">
      <items count="10">
        <item m="1" x="5"/>
        <item x="0"/>
        <item x="2"/>
        <item m="1" x="6"/>
        <item x="4"/>
        <item m="1" x="7"/>
        <item x="3"/>
        <item x="1"/>
        <item m="1" x="8"/>
        <item t="default"/>
      </items>
    </pivotField>
    <pivotField dataField="1" showAll="0"/>
  </pivotFields>
  <rowFields count="1">
    <field x="1"/>
  </rowFields>
  <rowItems count="6">
    <i>
      <x v="1"/>
    </i>
    <i>
      <x v="2"/>
    </i>
    <i>
      <x v="4"/>
    </i>
    <i>
      <x v="6"/>
    </i>
    <i>
      <x v="7"/>
    </i>
    <i t="grand">
      <x/>
    </i>
  </rowItems>
  <colItems count="1">
    <i/>
  </colItems>
  <dataFields count="1">
    <dataField name="Total" fld="2" baseField="0" baseItem="0"/>
  </dataFields>
  <formats count="43">
    <format dxfId="308">
      <pivotArea field="1" type="button" dataOnly="0" labelOnly="1" outline="0" axis="axisRow" fieldPosition="0"/>
    </format>
    <format dxfId="307">
      <pivotArea dataOnly="0" labelOnly="1" outline="0" axis="axisValues" fieldPosition="0"/>
    </format>
    <format dxfId="306">
      <pivotArea grandRow="1" outline="0" collapsedLevelsAreSubtotals="1" fieldPosition="0"/>
    </format>
    <format dxfId="305">
      <pivotArea dataOnly="0" labelOnly="1" grandRow="1" outline="0" fieldPosition="0"/>
    </format>
    <format dxfId="304">
      <pivotArea type="all" dataOnly="0" outline="0" fieldPosition="0"/>
    </format>
    <format dxfId="303">
      <pivotArea outline="0" collapsedLevelsAreSubtotals="1" fieldPosition="0"/>
    </format>
    <format dxfId="302">
      <pivotArea field="1" type="button" dataOnly="0" labelOnly="1" outline="0" axis="axisRow" fieldPosition="0"/>
    </format>
    <format dxfId="301">
      <pivotArea dataOnly="0" labelOnly="1" fieldPosition="0">
        <references count="1">
          <reference field="1" count="0"/>
        </references>
      </pivotArea>
    </format>
    <format dxfId="300">
      <pivotArea dataOnly="0" labelOnly="1" grandRow="1" outline="0" fieldPosition="0"/>
    </format>
    <format dxfId="299">
      <pivotArea dataOnly="0" labelOnly="1" outline="0" axis="axisValues" fieldPosition="0"/>
    </format>
    <format dxfId="298">
      <pivotArea type="all" dataOnly="0" outline="0" fieldPosition="0"/>
    </format>
    <format dxfId="297">
      <pivotArea outline="0" collapsedLevelsAreSubtotals="1" fieldPosition="0"/>
    </format>
    <format dxfId="296">
      <pivotArea field="1" type="button" dataOnly="0" labelOnly="1" outline="0" axis="axisRow" fieldPosition="0"/>
    </format>
    <format dxfId="295">
      <pivotArea dataOnly="0" labelOnly="1" fieldPosition="0">
        <references count="1">
          <reference field="1" count="0"/>
        </references>
      </pivotArea>
    </format>
    <format dxfId="294">
      <pivotArea dataOnly="0" labelOnly="1" grandRow="1" outline="0" fieldPosition="0"/>
    </format>
    <format dxfId="293">
      <pivotArea dataOnly="0" labelOnly="1" outline="0" axis="axisValues" fieldPosition="0"/>
    </format>
    <format dxfId="292">
      <pivotArea outline="0" collapsedLevelsAreSubtotals="1" fieldPosition="0"/>
    </format>
    <format dxfId="291">
      <pivotArea dataOnly="0" labelOnly="1" outline="0" axis="axisValues" fieldPosition="0"/>
    </format>
    <format dxfId="290">
      <pivotArea type="all" dataOnly="0" outline="0" fieldPosition="0"/>
    </format>
    <format dxfId="289">
      <pivotArea field="1" type="button" dataOnly="0" labelOnly="1" outline="0" axis="axisRow" fieldPosition="0"/>
    </format>
    <format dxfId="288">
      <pivotArea dataOnly="0" labelOnly="1" grandRow="1" outline="0" fieldPosition="0"/>
    </format>
    <format dxfId="287">
      <pivotArea dataOnly="0" labelOnly="1" outline="0" axis="axisValues" fieldPosition="0"/>
    </format>
    <format dxfId="286">
      <pivotArea field="1" type="button" dataOnly="0" labelOnly="1" outline="0" axis="axisRow" fieldPosition="0"/>
    </format>
    <format dxfId="285">
      <pivotArea dataOnly="0" labelOnly="1" outline="0" axis="axisValues" fieldPosition="0"/>
    </format>
    <format dxfId="284">
      <pivotArea grandRow="1" outline="0" collapsedLevelsAreSubtotals="1" fieldPosition="0"/>
    </format>
    <format dxfId="283">
      <pivotArea dataOnly="0" labelOnly="1" grandRow="1" outline="0" fieldPosition="0"/>
    </format>
    <format dxfId="282">
      <pivotArea field="1" type="button" dataOnly="0" labelOnly="1" outline="0" axis="axisRow" fieldPosition="0"/>
    </format>
    <format dxfId="281">
      <pivotArea dataOnly="0" labelOnly="1" outline="0" axis="axisValues" fieldPosition="0"/>
    </format>
    <format dxfId="280">
      <pivotArea grandRow="1" outline="0" collapsedLevelsAreSubtotals="1" fieldPosition="0"/>
    </format>
    <format dxfId="279">
      <pivotArea dataOnly="0" labelOnly="1" grandRow="1" outline="0" fieldPosition="0"/>
    </format>
    <format dxfId="278">
      <pivotArea type="all" dataOnly="0" outline="0" fieldPosition="0"/>
    </format>
    <format dxfId="277">
      <pivotArea outline="0" collapsedLevelsAreSubtotals="1" fieldPosition="0"/>
    </format>
    <format dxfId="276">
      <pivotArea field="1" type="button" dataOnly="0" labelOnly="1" outline="0" axis="axisRow" fieldPosition="0"/>
    </format>
    <format dxfId="275">
      <pivotArea dataOnly="0" labelOnly="1" fieldPosition="0">
        <references count="1">
          <reference field="1" count="0"/>
        </references>
      </pivotArea>
    </format>
    <format dxfId="274">
      <pivotArea dataOnly="0" labelOnly="1" grandRow="1" outline="0" fieldPosition="0"/>
    </format>
    <format dxfId="273">
      <pivotArea dataOnly="0" labelOnly="1" outline="0" axis="axisValues" fieldPosition="0"/>
    </format>
    <format dxfId="272">
      <pivotArea collapsedLevelsAreSubtotals="1" fieldPosition="0">
        <references count="1">
          <reference field="1" count="0"/>
        </references>
      </pivotArea>
    </format>
    <format dxfId="271">
      <pivotArea dataOnly="0" labelOnly="1" fieldPosition="0">
        <references count="1">
          <reference field="1" count="0"/>
        </references>
      </pivotArea>
    </format>
    <format dxfId="270">
      <pivotArea field="1" type="button" dataOnly="0" labelOnly="1" outline="0" axis="axisRow" fieldPosition="0"/>
    </format>
    <format dxfId="269">
      <pivotArea dataOnly="0" labelOnly="1" outline="0" axis="axisValues" fieldPosition="0"/>
    </format>
    <format dxfId="268">
      <pivotArea grandRow="1" outline="0" collapsedLevelsAreSubtotals="1" fieldPosition="0"/>
    </format>
    <format dxfId="267">
      <pivotArea dataOnly="0" labelOnly="1" grandRow="1" outline="0" fieldPosition="0"/>
    </format>
    <format dxfId="266">
      <pivotArea grandRow="1" outline="0" collapsedLevelsAreSubtotals="1" fieldPosition="0"/>
    </format>
  </formats>
  <chartFormats count="1">
    <chartFormat chart="4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1AB58-68D0-4921-B57A-F172FC2584B0}" name="gastos_agosto_por_categoria" cacheId="7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48" rowHeaderCaption="CATEGORÍA">
  <location ref="L4:M10" firstHeaderRow="1" firstDataRow="1" firstDataCol="1"/>
  <pivotFields count="3">
    <pivotField showAll="0"/>
    <pivotField axis="axisRow" showAll="0" sortType="descending">
      <items count="10">
        <item m="1" x="5"/>
        <item x="0"/>
        <item x="2"/>
        <item m="1" x="6"/>
        <item x="4"/>
        <item m="1" x="7"/>
        <item x="3"/>
        <item x="1"/>
        <item m="1" x="8"/>
        <item t="default"/>
      </items>
    </pivotField>
    <pivotField dataField="1" showAll="0"/>
  </pivotFields>
  <rowFields count="1">
    <field x="1"/>
  </rowFields>
  <rowItems count="6">
    <i>
      <x v="1"/>
    </i>
    <i>
      <x v="2"/>
    </i>
    <i>
      <x v="4"/>
    </i>
    <i>
      <x v="6"/>
    </i>
    <i>
      <x v="7"/>
    </i>
    <i t="grand">
      <x/>
    </i>
  </rowItems>
  <colItems count="1">
    <i/>
  </colItems>
  <dataFields count="1">
    <dataField name="Total" fld="2" baseField="0" baseItem="0"/>
  </dataFields>
  <formats count="43">
    <format dxfId="257">
      <pivotArea field="1" type="button" dataOnly="0" labelOnly="1" outline="0" axis="axisRow" fieldPosition="0"/>
    </format>
    <format dxfId="256">
      <pivotArea dataOnly="0" labelOnly="1" outline="0" axis="axisValues" fieldPosition="0"/>
    </format>
    <format dxfId="255">
      <pivotArea grandRow="1" outline="0" collapsedLevelsAreSubtotals="1" fieldPosition="0"/>
    </format>
    <format dxfId="254">
      <pivotArea dataOnly="0" labelOnly="1" grandRow="1" outline="0" fieldPosition="0"/>
    </format>
    <format dxfId="253">
      <pivotArea type="all" dataOnly="0" outline="0" fieldPosition="0"/>
    </format>
    <format dxfId="252">
      <pivotArea outline="0" collapsedLevelsAreSubtotals="1" fieldPosition="0"/>
    </format>
    <format dxfId="251">
      <pivotArea field="1" type="button" dataOnly="0" labelOnly="1" outline="0" axis="axisRow" fieldPosition="0"/>
    </format>
    <format dxfId="250">
      <pivotArea dataOnly="0" labelOnly="1" fieldPosition="0">
        <references count="1">
          <reference field="1" count="0"/>
        </references>
      </pivotArea>
    </format>
    <format dxfId="249">
      <pivotArea dataOnly="0" labelOnly="1" grandRow="1" outline="0" fieldPosition="0"/>
    </format>
    <format dxfId="248">
      <pivotArea dataOnly="0" labelOnly="1" outline="0" axis="axisValues" fieldPosition="0"/>
    </format>
    <format dxfId="247">
      <pivotArea type="all" dataOnly="0" outline="0" fieldPosition="0"/>
    </format>
    <format dxfId="246">
      <pivotArea outline="0" collapsedLevelsAreSubtotals="1" fieldPosition="0"/>
    </format>
    <format dxfId="245">
      <pivotArea field="1" type="button" dataOnly="0" labelOnly="1" outline="0" axis="axisRow" fieldPosition="0"/>
    </format>
    <format dxfId="244">
      <pivotArea dataOnly="0" labelOnly="1" fieldPosition="0">
        <references count="1">
          <reference field="1" count="0"/>
        </references>
      </pivotArea>
    </format>
    <format dxfId="243">
      <pivotArea dataOnly="0" labelOnly="1" grandRow="1" outline="0" fieldPosition="0"/>
    </format>
    <format dxfId="242">
      <pivotArea dataOnly="0" labelOnly="1" outline="0" axis="axisValues" fieldPosition="0"/>
    </format>
    <format dxfId="241">
      <pivotArea outline="0" collapsedLevelsAreSubtotals="1" fieldPosition="0"/>
    </format>
    <format dxfId="240">
      <pivotArea dataOnly="0" labelOnly="1" outline="0" axis="axisValues" fieldPosition="0"/>
    </format>
    <format dxfId="239">
      <pivotArea type="all" dataOnly="0" outline="0" fieldPosition="0"/>
    </format>
    <format dxfId="238">
      <pivotArea field="1" type="button" dataOnly="0" labelOnly="1" outline="0" axis="axisRow" fieldPosition="0"/>
    </format>
    <format dxfId="237">
      <pivotArea dataOnly="0" labelOnly="1" grandRow="1" outline="0" fieldPosition="0"/>
    </format>
    <format dxfId="236">
      <pivotArea dataOnly="0" labelOnly="1" outline="0" axis="axisValues" fieldPosition="0"/>
    </format>
    <format dxfId="235">
      <pivotArea field="1" type="button" dataOnly="0" labelOnly="1" outline="0" axis="axisRow" fieldPosition="0"/>
    </format>
    <format dxfId="234">
      <pivotArea dataOnly="0" labelOnly="1" outline="0" axis="axisValues" fieldPosition="0"/>
    </format>
    <format dxfId="233">
      <pivotArea grandRow="1" outline="0" collapsedLevelsAreSubtotals="1" fieldPosition="0"/>
    </format>
    <format dxfId="232">
      <pivotArea dataOnly="0" labelOnly="1" grandRow="1" outline="0" fieldPosition="0"/>
    </format>
    <format dxfId="231">
      <pivotArea field="1" type="button" dataOnly="0" labelOnly="1" outline="0" axis="axisRow" fieldPosition="0"/>
    </format>
    <format dxfId="230">
      <pivotArea dataOnly="0" labelOnly="1" outline="0" axis="axisValues" fieldPosition="0"/>
    </format>
    <format dxfId="229">
      <pivotArea grandRow="1" outline="0" collapsedLevelsAreSubtotals="1" fieldPosition="0"/>
    </format>
    <format dxfId="228">
      <pivotArea dataOnly="0" labelOnly="1" grandRow="1" outline="0" fieldPosition="0"/>
    </format>
    <format dxfId="227">
      <pivotArea type="all" dataOnly="0" outline="0" fieldPosition="0"/>
    </format>
    <format dxfId="226">
      <pivotArea outline="0" collapsedLevelsAreSubtotals="1" fieldPosition="0"/>
    </format>
    <format dxfId="225">
      <pivotArea field="1" type="button" dataOnly="0" labelOnly="1" outline="0" axis="axisRow" fieldPosition="0"/>
    </format>
    <format dxfId="224">
      <pivotArea dataOnly="0" labelOnly="1" fieldPosition="0">
        <references count="1">
          <reference field="1" count="0"/>
        </references>
      </pivotArea>
    </format>
    <format dxfId="223">
      <pivotArea dataOnly="0" labelOnly="1" grandRow="1" outline="0" fieldPosition="0"/>
    </format>
    <format dxfId="222">
      <pivotArea dataOnly="0" labelOnly="1" outline="0" axis="axisValues" fieldPosition="0"/>
    </format>
    <format dxfId="221">
      <pivotArea collapsedLevelsAreSubtotals="1" fieldPosition="0">
        <references count="1">
          <reference field="1" count="0"/>
        </references>
      </pivotArea>
    </format>
    <format dxfId="220">
      <pivotArea dataOnly="0" labelOnly="1" fieldPosition="0">
        <references count="1">
          <reference field="1" count="0"/>
        </references>
      </pivotArea>
    </format>
    <format dxfId="219">
      <pivotArea field="1" type="button" dataOnly="0" labelOnly="1" outline="0" axis="axisRow" fieldPosition="0"/>
    </format>
    <format dxfId="218">
      <pivotArea dataOnly="0" labelOnly="1" outline="0" axis="axisValues" fieldPosition="0"/>
    </format>
    <format dxfId="217">
      <pivotArea grandRow="1" outline="0" collapsedLevelsAreSubtotals="1" fieldPosition="0"/>
    </format>
    <format dxfId="216">
      <pivotArea dataOnly="0" labelOnly="1" grandRow="1" outline="0" fieldPosition="0"/>
    </format>
    <format dxfId="215">
      <pivotArea grandRow="1" outline="0" collapsedLevelsAreSubtotals="1" fieldPosition="0"/>
    </format>
  </formats>
  <chartFormats count="1">
    <chartFormat chart="4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9B0311-8FE6-455E-82E2-B7DC8C70BB33}" name="gastos_septiembre_por_categoria" cacheId="8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47" rowHeaderCaption="CATEGORÍA">
  <location ref="L4:M10" firstHeaderRow="1" firstDataRow="1" firstDataCol="1"/>
  <pivotFields count="3">
    <pivotField showAll="0"/>
    <pivotField axis="axisRow" showAll="0" sortType="descending">
      <items count="10">
        <item m="1" x="5"/>
        <item x="0"/>
        <item x="2"/>
        <item m="1" x="6"/>
        <item x="4"/>
        <item m="1" x="7"/>
        <item x="3"/>
        <item x="1"/>
        <item m="1" x="8"/>
        <item t="default"/>
      </items>
    </pivotField>
    <pivotField dataField="1" showAll="0"/>
  </pivotFields>
  <rowFields count="1">
    <field x="1"/>
  </rowFields>
  <rowItems count="6">
    <i>
      <x v="1"/>
    </i>
    <i>
      <x v="2"/>
    </i>
    <i>
      <x v="4"/>
    </i>
    <i>
      <x v="6"/>
    </i>
    <i>
      <x v="7"/>
    </i>
    <i t="grand">
      <x/>
    </i>
  </rowItems>
  <colItems count="1">
    <i/>
  </colItems>
  <dataFields count="1">
    <dataField name="Total" fld="2" baseField="0" baseItem="0"/>
  </dataFields>
  <formats count="43">
    <format dxfId="206">
      <pivotArea field="1" type="button" dataOnly="0" labelOnly="1" outline="0" axis="axisRow" fieldPosition="0"/>
    </format>
    <format dxfId="205">
      <pivotArea dataOnly="0" labelOnly="1" outline="0" axis="axisValues" fieldPosition="0"/>
    </format>
    <format dxfId="204">
      <pivotArea grandRow="1" outline="0" collapsedLevelsAreSubtotals="1" fieldPosition="0"/>
    </format>
    <format dxfId="203">
      <pivotArea dataOnly="0" labelOnly="1" grandRow="1" outline="0" fieldPosition="0"/>
    </format>
    <format dxfId="202">
      <pivotArea type="all" dataOnly="0" outline="0" fieldPosition="0"/>
    </format>
    <format dxfId="201">
      <pivotArea outline="0" collapsedLevelsAreSubtotals="1" fieldPosition="0"/>
    </format>
    <format dxfId="200">
      <pivotArea field="1" type="button" dataOnly="0" labelOnly="1" outline="0" axis="axisRow" fieldPosition="0"/>
    </format>
    <format dxfId="199">
      <pivotArea dataOnly="0" labelOnly="1" fieldPosition="0">
        <references count="1">
          <reference field="1" count="0"/>
        </references>
      </pivotArea>
    </format>
    <format dxfId="198">
      <pivotArea dataOnly="0" labelOnly="1" grandRow="1" outline="0" fieldPosition="0"/>
    </format>
    <format dxfId="197">
      <pivotArea dataOnly="0" labelOnly="1" outline="0" axis="axisValues" fieldPosition="0"/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field="1" type="button" dataOnly="0" labelOnly="1" outline="0" axis="axisRow" fieldPosition="0"/>
    </format>
    <format dxfId="193">
      <pivotArea dataOnly="0" labelOnly="1" fieldPosition="0">
        <references count="1">
          <reference field="1" count="0"/>
        </references>
      </pivotArea>
    </format>
    <format dxfId="192">
      <pivotArea dataOnly="0" labelOnly="1" grandRow="1" outline="0" fieldPosition="0"/>
    </format>
    <format dxfId="191">
      <pivotArea dataOnly="0" labelOnly="1" outline="0" axis="axisValues" fieldPosition="0"/>
    </format>
    <format dxfId="190">
      <pivotArea outline="0" collapsedLevelsAreSubtotals="1" fieldPosition="0"/>
    </format>
    <format dxfId="189">
      <pivotArea dataOnly="0" labelOnly="1" outline="0" axis="axisValues" fieldPosition="0"/>
    </format>
    <format dxfId="188">
      <pivotArea type="all" dataOnly="0" outline="0" fieldPosition="0"/>
    </format>
    <format dxfId="187">
      <pivotArea field="1" type="button" dataOnly="0" labelOnly="1" outline="0" axis="axisRow" fieldPosition="0"/>
    </format>
    <format dxfId="186">
      <pivotArea dataOnly="0" labelOnly="1" grandRow="1" outline="0" fieldPosition="0"/>
    </format>
    <format dxfId="185">
      <pivotArea dataOnly="0" labelOnly="1" outline="0" axis="axisValues" fieldPosition="0"/>
    </format>
    <format dxfId="184">
      <pivotArea field="1" type="button" dataOnly="0" labelOnly="1" outline="0" axis="axisRow" fieldPosition="0"/>
    </format>
    <format dxfId="183">
      <pivotArea dataOnly="0" labelOnly="1" outline="0" axis="axisValues" fieldPosition="0"/>
    </format>
    <format dxfId="182">
      <pivotArea grandRow="1" outline="0" collapsedLevelsAreSubtotals="1" fieldPosition="0"/>
    </format>
    <format dxfId="181">
      <pivotArea dataOnly="0" labelOnly="1" grandRow="1" outline="0" fieldPosition="0"/>
    </format>
    <format dxfId="180">
      <pivotArea field="1" type="button" dataOnly="0" labelOnly="1" outline="0" axis="axisRow" fieldPosition="0"/>
    </format>
    <format dxfId="179">
      <pivotArea dataOnly="0" labelOnly="1" outline="0" axis="axisValues" fieldPosition="0"/>
    </format>
    <format dxfId="178">
      <pivotArea grandRow="1" outline="0" collapsedLevelsAreSubtotals="1" fieldPosition="0"/>
    </format>
    <format dxfId="177">
      <pivotArea dataOnly="0" labelOnly="1" grandRow="1" outline="0" fieldPosition="0"/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field="1" type="button" dataOnly="0" labelOnly="1" outline="0" axis="axisRow" fieldPosition="0"/>
    </format>
    <format dxfId="173">
      <pivotArea dataOnly="0" labelOnly="1" fieldPosition="0">
        <references count="1">
          <reference field="1" count="0"/>
        </references>
      </pivotArea>
    </format>
    <format dxfId="172">
      <pivotArea dataOnly="0" labelOnly="1" grandRow="1" outline="0" fieldPosition="0"/>
    </format>
    <format dxfId="171">
      <pivotArea dataOnly="0" labelOnly="1" outline="0" axis="axisValues" fieldPosition="0"/>
    </format>
    <format dxfId="170">
      <pivotArea collapsedLevelsAreSubtotals="1" fieldPosition="0">
        <references count="1">
          <reference field="1" count="0"/>
        </references>
      </pivotArea>
    </format>
    <format dxfId="169">
      <pivotArea dataOnly="0" labelOnly="1" fieldPosition="0">
        <references count="1">
          <reference field="1" count="0"/>
        </references>
      </pivotArea>
    </format>
    <format dxfId="168">
      <pivotArea field="1" type="button" dataOnly="0" labelOnly="1" outline="0" axis="axisRow" fieldPosition="0"/>
    </format>
    <format dxfId="167">
      <pivotArea dataOnly="0" labelOnly="1" outline="0" axis="axisValues" fieldPosition="0"/>
    </format>
    <format dxfId="166">
      <pivotArea grandRow="1" outline="0" collapsedLevelsAreSubtotals="1" fieldPosition="0"/>
    </format>
    <format dxfId="165">
      <pivotArea dataOnly="0" labelOnly="1" grandRow="1" outline="0" fieldPosition="0"/>
    </format>
    <format dxfId="164">
      <pivotArea grandRow="1" outline="0" collapsedLevelsAreSubtotals="1" fieldPosition="0"/>
    </format>
  </formats>
  <chartFormats count="1">
    <chartFormat chart="4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9E963-2F3A-4B99-8062-A3D35E768B9F}" name="gastos_octubre_por_categoria" cacheId="9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47" rowHeaderCaption="CATEGORÍA">
  <location ref="L4:M10" firstHeaderRow="1" firstDataRow="1" firstDataCol="1"/>
  <pivotFields count="3">
    <pivotField showAll="0"/>
    <pivotField axis="axisRow" showAll="0" sortType="descending">
      <items count="10">
        <item m="1" x="5"/>
        <item x="0"/>
        <item x="2"/>
        <item m="1" x="6"/>
        <item x="4"/>
        <item m="1" x="7"/>
        <item x="3"/>
        <item x="1"/>
        <item m="1" x="8"/>
        <item t="default"/>
      </items>
    </pivotField>
    <pivotField dataField="1" showAll="0"/>
  </pivotFields>
  <rowFields count="1">
    <field x="1"/>
  </rowFields>
  <rowItems count="6">
    <i>
      <x v="1"/>
    </i>
    <i>
      <x v="2"/>
    </i>
    <i>
      <x v="4"/>
    </i>
    <i>
      <x v="6"/>
    </i>
    <i>
      <x v="7"/>
    </i>
    <i t="grand">
      <x/>
    </i>
  </rowItems>
  <colItems count="1">
    <i/>
  </colItems>
  <dataFields count="1">
    <dataField name="Total" fld="2" baseField="0" baseItem="0"/>
  </dataFields>
  <formats count="43">
    <format dxfId="155">
      <pivotArea field="1" type="button" dataOnly="0" labelOnly="1" outline="0" axis="axisRow" fieldPosition="0"/>
    </format>
    <format dxfId="154">
      <pivotArea dataOnly="0" labelOnly="1" outline="0" axis="axisValues" fieldPosition="0"/>
    </format>
    <format dxfId="153">
      <pivotArea grandRow="1" outline="0" collapsedLevelsAreSubtotals="1" fieldPosition="0"/>
    </format>
    <format dxfId="152">
      <pivotArea dataOnly="0" labelOnly="1" grandRow="1" outline="0" fieldPosition="0"/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1" type="button" dataOnly="0" labelOnly="1" outline="0" axis="axisRow" fieldPosition="0"/>
    </format>
    <format dxfId="148">
      <pivotArea dataOnly="0" labelOnly="1" fieldPosition="0">
        <references count="1">
          <reference field="1" count="0"/>
        </references>
      </pivotArea>
    </format>
    <format dxfId="147">
      <pivotArea dataOnly="0" labelOnly="1" grandRow="1" outline="0" fieldPosition="0"/>
    </format>
    <format dxfId="146">
      <pivotArea dataOnly="0" labelOnly="1" outline="0" axis="axisValues" fieldPosition="0"/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field="1" type="button" dataOnly="0" labelOnly="1" outline="0" axis="axisRow" fieldPosition="0"/>
    </format>
    <format dxfId="142">
      <pivotArea dataOnly="0" labelOnly="1" fieldPosition="0">
        <references count="1">
          <reference field="1" count="0"/>
        </references>
      </pivotArea>
    </format>
    <format dxfId="141">
      <pivotArea dataOnly="0" labelOnly="1" grandRow="1" outline="0" fieldPosition="0"/>
    </format>
    <format dxfId="140">
      <pivotArea dataOnly="0" labelOnly="1" outline="0" axis="axisValues" fieldPosition="0"/>
    </format>
    <format dxfId="139">
      <pivotArea outline="0" collapsedLevelsAreSubtotals="1" fieldPosition="0"/>
    </format>
    <format dxfId="138">
      <pivotArea dataOnly="0" labelOnly="1" outline="0" axis="axisValues" fieldPosition="0"/>
    </format>
    <format dxfId="137">
      <pivotArea type="all" dataOnly="0" outline="0" fieldPosition="0"/>
    </format>
    <format dxfId="136">
      <pivotArea field="1" type="button" dataOnly="0" labelOnly="1" outline="0" axis="axisRow" fieldPosition="0"/>
    </format>
    <format dxfId="135">
      <pivotArea dataOnly="0" labelOnly="1" grandRow="1" outline="0" fieldPosition="0"/>
    </format>
    <format dxfId="134">
      <pivotArea dataOnly="0" labelOnly="1" outline="0" axis="axisValues" fieldPosition="0"/>
    </format>
    <format dxfId="133">
      <pivotArea field="1" type="button" dataOnly="0" labelOnly="1" outline="0" axis="axisRow" fieldPosition="0"/>
    </format>
    <format dxfId="132">
      <pivotArea dataOnly="0" labelOnly="1" outline="0" axis="axisValues" fieldPosition="0"/>
    </format>
    <format dxfId="131">
      <pivotArea grandRow="1" outline="0" collapsedLevelsAreSubtotals="1" fieldPosition="0"/>
    </format>
    <format dxfId="130">
      <pivotArea dataOnly="0" labelOnly="1" grandRow="1" outline="0" fieldPosition="0"/>
    </format>
    <format dxfId="129">
      <pivotArea field="1" type="button" dataOnly="0" labelOnly="1" outline="0" axis="axisRow" fieldPosition="0"/>
    </format>
    <format dxfId="128">
      <pivotArea dataOnly="0" labelOnly="1" outline="0" axis="axisValues" fieldPosition="0"/>
    </format>
    <format dxfId="127">
      <pivotArea grandRow="1" outline="0" collapsedLevelsAreSubtotals="1" fieldPosition="0"/>
    </format>
    <format dxfId="126">
      <pivotArea dataOnly="0" labelOnly="1" grandRow="1" outline="0" fieldPosition="0"/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1" type="button" dataOnly="0" labelOnly="1" outline="0" axis="axisRow" fieldPosition="0"/>
    </format>
    <format dxfId="122">
      <pivotArea dataOnly="0" labelOnly="1" fieldPosition="0">
        <references count="1">
          <reference field="1" count="0"/>
        </references>
      </pivotArea>
    </format>
    <format dxfId="121">
      <pivotArea dataOnly="0" labelOnly="1" grandRow="1" outline="0" fieldPosition="0"/>
    </format>
    <format dxfId="120">
      <pivotArea dataOnly="0" labelOnly="1" outline="0" axis="axisValues" fieldPosition="0"/>
    </format>
    <format dxfId="119">
      <pivotArea collapsedLevelsAreSubtotals="1" fieldPosition="0">
        <references count="1">
          <reference field="1" count="0"/>
        </references>
      </pivotArea>
    </format>
    <format dxfId="118">
      <pivotArea dataOnly="0" labelOnly="1" fieldPosition="0">
        <references count="1">
          <reference field="1" count="0"/>
        </references>
      </pivotArea>
    </format>
    <format dxfId="117">
      <pivotArea field="1" type="button" dataOnly="0" labelOnly="1" outline="0" axis="axisRow" fieldPosition="0"/>
    </format>
    <format dxfId="116">
      <pivotArea dataOnly="0" labelOnly="1" outline="0" axis="axisValues" fieldPosition="0"/>
    </format>
    <format dxfId="115">
      <pivotArea grandRow="1" outline="0" collapsedLevelsAreSubtotals="1" fieldPosition="0"/>
    </format>
    <format dxfId="114">
      <pivotArea dataOnly="0" labelOnly="1" grandRow="1" outline="0" fieldPosition="0"/>
    </format>
    <format dxfId="113">
      <pivotArea grandRow="1" outline="0" collapsedLevelsAreSubtotals="1" fieldPosition="0"/>
    </format>
  </formats>
  <chartFormats count="1">
    <chartFormat chart="4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8B899-B75A-4CFB-801E-6A6D6C0E09E6}" name="gastos_noviembre_por_categoria" cacheId="10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47" rowHeaderCaption="CATEGORÍA">
  <location ref="L4:M11" firstHeaderRow="1" firstDataRow="1" firstDataCol="1"/>
  <pivotFields count="3">
    <pivotField showAll="0"/>
    <pivotField axis="axisRow" showAll="0" sortType="descending">
      <items count="11">
        <item m="1" x="6"/>
        <item x="0"/>
        <item x="5"/>
        <item x="2"/>
        <item m="1" x="7"/>
        <item x="4"/>
        <item m="1" x="8"/>
        <item x="3"/>
        <item x="1"/>
        <item m="1" x="9"/>
        <item t="default"/>
      </items>
    </pivotField>
    <pivotField dataField="1" showAll="0"/>
  </pivotFields>
  <rowFields count="1">
    <field x="1"/>
  </rowFields>
  <rowItems count="7">
    <i>
      <x v="1"/>
    </i>
    <i>
      <x v="2"/>
    </i>
    <i>
      <x v="3"/>
    </i>
    <i>
      <x v="5"/>
    </i>
    <i>
      <x v="7"/>
    </i>
    <i>
      <x v="8"/>
    </i>
    <i t="grand">
      <x/>
    </i>
  </rowItems>
  <colItems count="1">
    <i/>
  </colItems>
  <dataFields count="1">
    <dataField name="Total" fld="2" baseField="0" baseItem="0"/>
  </dataFields>
  <formats count="43">
    <format dxfId="104">
      <pivotArea field="1" type="button" dataOnly="0" labelOnly="1" outline="0" axis="axisRow" fieldPosition="0"/>
    </format>
    <format dxfId="103">
      <pivotArea dataOnly="0" labelOnly="1" outline="0" axis="axisValues" fieldPosition="0"/>
    </format>
    <format dxfId="102">
      <pivotArea grandRow="1" outline="0" collapsedLevelsAreSubtotals="1" fieldPosition="0"/>
    </format>
    <format dxfId="101">
      <pivotArea dataOnly="0" labelOnly="1" grandRow="1" outline="0" fieldPosition="0"/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1" type="button" dataOnly="0" labelOnly="1" outline="0" axis="axisRow" fieldPosition="0"/>
    </format>
    <format dxfId="97">
      <pivotArea dataOnly="0" labelOnly="1" fieldPosition="0">
        <references count="1">
          <reference field="1" count="0"/>
        </references>
      </pivotArea>
    </format>
    <format dxfId="96">
      <pivotArea dataOnly="0" labelOnly="1" grandRow="1" outline="0" fieldPosition="0"/>
    </format>
    <format dxfId="95">
      <pivotArea dataOnly="0" labelOnly="1" outline="0" axis="axisValues" fieldPosition="0"/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1" type="button" dataOnly="0" labelOnly="1" outline="0" axis="axisRow" fieldPosition="0"/>
    </format>
    <format dxfId="91">
      <pivotArea dataOnly="0" labelOnly="1" fieldPosition="0">
        <references count="1">
          <reference field="1" count="0"/>
        </references>
      </pivotArea>
    </format>
    <format dxfId="90">
      <pivotArea dataOnly="0" labelOnly="1" grandRow="1" outline="0" fieldPosition="0"/>
    </format>
    <format dxfId="89">
      <pivotArea dataOnly="0" labelOnly="1" outline="0" axis="axisValues" fieldPosition="0"/>
    </format>
    <format dxfId="88">
      <pivotArea outline="0" collapsedLevelsAreSubtotals="1" fieldPosition="0"/>
    </format>
    <format dxfId="87">
      <pivotArea dataOnly="0" labelOnly="1" outline="0" axis="axisValues" fieldPosition="0"/>
    </format>
    <format dxfId="86">
      <pivotArea type="all" dataOnly="0" outline="0" fieldPosition="0"/>
    </format>
    <format dxfId="85">
      <pivotArea field="1" type="button" dataOnly="0" labelOnly="1" outline="0" axis="axisRow" fieldPosition="0"/>
    </format>
    <format dxfId="84">
      <pivotArea dataOnly="0" labelOnly="1" grandRow="1" outline="0" fieldPosition="0"/>
    </format>
    <format dxfId="83">
      <pivotArea dataOnly="0" labelOnly="1" outline="0" axis="axisValues" fieldPosition="0"/>
    </format>
    <format dxfId="82">
      <pivotArea field="1" type="button" dataOnly="0" labelOnly="1" outline="0" axis="axisRow" fieldPosition="0"/>
    </format>
    <format dxfId="81">
      <pivotArea dataOnly="0" labelOnly="1" outline="0" axis="axisValues" fieldPosition="0"/>
    </format>
    <format dxfId="80">
      <pivotArea grandRow="1" outline="0" collapsedLevelsAreSubtotals="1" fieldPosition="0"/>
    </format>
    <format dxfId="79">
      <pivotArea dataOnly="0" labelOnly="1" grandRow="1" outline="0" fieldPosition="0"/>
    </format>
    <format dxfId="78">
      <pivotArea field="1" type="button" dataOnly="0" labelOnly="1" outline="0" axis="axisRow" fieldPosition="0"/>
    </format>
    <format dxfId="77">
      <pivotArea dataOnly="0" labelOnly="1" outline="0" axis="axisValues" fieldPosition="0"/>
    </format>
    <format dxfId="76">
      <pivotArea grandRow="1" outline="0" collapsedLevelsAreSubtotals="1" fieldPosition="0"/>
    </format>
    <format dxfId="75">
      <pivotArea dataOnly="0" labelOnly="1" grandRow="1" outline="0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1" type="button" dataOnly="0" labelOnly="1" outline="0" axis="axisRow" fieldPosition="0"/>
    </format>
    <format dxfId="71">
      <pivotArea dataOnly="0" labelOnly="1" fieldPosition="0">
        <references count="1">
          <reference field="1" count="0"/>
        </references>
      </pivotArea>
    </format>
    <format dxfId="70">
      <pivotArea dataOnly="0" labelOnly="1" grandRow="1" outline="0" fieldPosition="0"/>
    </format>
    <format dxfId="69">
      <pivotArea dataOnly="0" labelOnly="1" outline="0" axis="axisValues" fieldPosition="0"/>
    </format>
    <format dxfId="68">
      <pivotArea collapsedLevelsAreSubtotals="1" fieldPosition="0">
        <references count="1">
          <reference field="1" count="0"/>
        </references>
      </pivotArea>
    </format>
    <format dxfId="67">
      <pivotArea dataOnly="0" labelOnly="1" fieldPosition="0">
        <references count="1">
          <reference field="1" count="0"/>
        </references>
      </pivotArea>
    </format>
    <format dxfId="66">
      <pivotArea field="1" type="button" dataOnly="0" labelOnly="1" outline="0" axis="axisRow" fieldPosition="0"/>
    </format>
    <format dxfId="65">
      <pivotArea dataOnly="0" labelOnly="1" outline="0" axis="axisValues" fieldPosition="0"/>
    </format>
    <format dxfId="64">
      <pivotArea grandRow="1" outline="0" collapsedLevelsAreSubtotals="1" fieldPosition="0"/>
    </format>
    <format dxfId="63">
      <pivotArea dataOnly="0" labelOnly="1" grandRow="1" outline="0" fieldPosition="0"/>
    </format>
    <format dxfId="62">
      <pivotArea grandRow="1" outline="0" collapsedLevelsAreSubtotals="1" fieldPosition="0"/>
    </format>
  </formats>
  <chartFormats count="1">
    <chartFormat chart="4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13C0E-CC3E-4D24-A3A8-DE4C5BC755C4}" name="gastos_diciembre_por_categoria" cacheId="11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47" rowHeaderCaption="CATEGORÍA">
  <location ref="L4:M10" firstHeaderRow="1" firstDataRow="1" firstDataCol="1"/>
  <pivotFields count="3">
    <pivotField showAll="0"/>
    <pivotField axis="axisRow" showAll="0" sortType="descending">
      <items count="11">
        <item m="1" x="5"/>
        <item x="0"/>
        <item x="2"/>
        <item m="1" x="7"/>
        <item x="4"/>
        <item m="1" x="8"/>
        <item x="3"/>
        <item x="1"/>
        <item m="1" x="9"/>
        <item m="1" x="6"/>
        <item t="default"/>
      </items>
    </pivotField>
    <pivotField dataField="1" showAll="0"/>
  </pivotFields>
  <rowFields count="1">
    <field x="1"/>
  </rowFields>
  <rowItems count="6">
    <i>
      <x v="1"/>
    </i>
    <i>
      <x v="2"/>
    </i>
    <i>
      <x v="4"/>
    </i>
    <i>
      <x v="6"/>
    </i>
    <i>
      <x v="7"/>
    </i>
    <i t="grand">
      <x/>
    </i>
  </rowItems>
  <colItems count="1">
    <i/>
  </colItems>
  <dataFields count="1">
    <dataField name="Total" fld="2" baseField="0" baseItem="0"/>
  </dataFields>
  <formats count="43">
    <format dxfId="53">
      <pivotArea field="1" type="button" dataOnly="0" labelOnly="1" outline="0" axis="axisRow" fieldPosition="0"/>
    </format>
    <format dxfId="52">
      <pivotArea dataOnly="0" labelOnly="1" outline="0" axis="axisValues" fieldPosition="0"/>
    </format>
    <format dxfId="51">
      <pivotArea grandRow="1" outline="0" collapsedLevelsAreSubtotals="1" fieldPosition="0"/>
    </format>
    <format dxfId="50">
      <pivotArea dataOnly="0" labelOnly="1" grandRow="1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1" type="button" dataOnly="0" labelOnly="1" outline="0" axis="axisRow" fieldPosition="0"/>
    </format>
    <format dxfId="40">
      <pivotArea dataOnly="0" labelOnly="1" fieldPosition="0">
        <references count="1">
          <reference field="1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  <format dxfId="37">
      <pivotArea outline="0" collapsedLevelsAreSubtotals="1" fieldPosition="0"/>
    </format>
    <format dxfId="36">
      <pivotArea dataOnly="0" labelOnly="1" outline="0" axis="axisValues" fieldPosition="0"/>
    </format>
    <format dxfId="35">
      <pivotArea type="all" dataOnly="0" outline="0" fieldPosition="0"/>
    </format>
    <format dxfId="34">
      <pivotArea field="1" type="button" dataOnly="0" labelOnly="1" outline="0" axis="axisRow" fieldPosition="0"/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field="1" type="button" dataOnly="0" labelOnly="1" outline="0" axis="axisRow" fieldPosition="0"/>
    </format>
    <format dxfId="30">
      <pivotArea dataOnly="0" labelOnly="1" outline="0" axis="axisValues" fieldPosition="0"/>
    </format>
    <format dxfId="29">
      <pivotArea grandRow="1" outline="0" collapsedLevelsAreSubtotals="1" fieldPosition="0"/>
    </format>
    <format dxfId="28">
      <pivotArea dataOnly="0" labelOnly="1" grandRow="1" outline="0" fieldPosition="0"/>
    </format>
    <format dxfId="27">
      <pivotArea field="1" type="button" dataOnly="0" labelOnly="1" outline="0" axis="axisRow" fieldPosition="0"/>
    </format>
    <format dxfId="26">
      <pivotArea dataOnly="0" labelOnly="1" outline="0" axis="axisValues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collapsedLevelsAreSubtotals="1" fieldPosition="0">
        <references count="1">
          <reference field="1" count="0"/>
        </references>
      </pivotArea>
    </format>
    <format dxfId="16">
      <pivotArea dataOnly="0" labelOnly="1" fieldPosition="0">
        <references count="1">
          <reference field="1" count="0"/>
        </references>
      </pivotArea>
    </format>
    <format dxfId="15">
      <pivotArea field="1" type="button" dataOnly="0" labelOnly="1" outline="0" axis="axisRow" fieldPosition="0"/>
    </format>
    <format dxfId="14">
      <pivotArea dataOnly="0" labelOnly="1" outline="0" axis="axisValues" fieldPosition="0"/>
    </format>
    <format dxfId="13">
      <pivotArea grandRow="1" outline="0" collapsedLevelsAreSubtotals="1" fieldPosition="0"/>
    </format>
    <format dxfId="12">
      <pivotArea dataOnly="0" labelOnly="1" grandRow="1" outline="0" fieldPosition="0"/>
    </format>
    <format dxfId="11">
      <pivotArea grandRow="1" outline="0" collapsedLevelsAreSubtotals="1" fieldPosition="0"/>
    </format>
  </formats>
  <chartFormats count="1">
    <chartFormat chart="4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F2587E-B613-4804-B66A-3651AF5B31A6}" name="gastos_enero" displayName="gastos_enero" ref="G4:I13" totalsRowShown="0" headerRowBorderDxfId="571" tableBorderDxfId="570">
  <autoFilter ref="G4:I13" xr:uid="{B8F2587E-B613-4804-B66A-3651AF5B31A6}"/>
  <tableColumns count="3">
    <tableColumn id="1" xr3:uid="{C32B8B46-5676-4F83-AC14-1AD9FC5AC80F}" name="Concepto" dataDxfId="569" dataCellStyle="Estilo 2"/>
    <tableColumn id="2" xr3:uid="{A25CD6B7-4432-4459-A8BA-681F38648F53}" name="Categoría" dataDxfId="568" dataCellStyle="Estilo 2"/>
    <tableColumn id="3" xr3:uid="{13F0BA8C-B2CE-418F-9896-8FCA942184DE}" name="Monto" dataDxfId="567" dataCellStyle="Estilo 2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FEC0F3-FAD2-4E0D-BCB6-8A017F9861E6}" name="ingresos_enero" displayName="ingresos_enero" ref="B4:D8" totalsRowShown="0">
  <autoFilter ref="B4:D8" xr:uid="{B5FEC0F3-FAD2-4E0D-BCB6-8A017F9861E6}"/>
  <tableColumns count="3">
    <tableColumn id="1" xr3:uid="{6729B1CD-EC53-431B-94DC-A85E3876688C}" name="Concepto" dataDxfId="566"/>
    <tableColumn id="2" xr3:uid="{4E262E6C-D677-4824-84ED-60C5760DAD11}" name="Categoría" dataDxfId="565"/>
    <tableColumn id="3" xr3:uid="{22D7B659-3214-4B44-8DEA-C9437BF78319}" name="Monto" dataDxfId="564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7BAB3DA-281F-4897-BA33-4AAEE475C8CE}" name="gastos_febrero" displayName="gastos_febrero" ref="G4:I13" totalsRowShown="0" headerRowBorderDxfId="520" tableBorderDxfId="519">
  <autoFilter ref="G4:I13" xr:uid="{37BAB3DA-281F-4897-BA33-4AAEE475C8CE}"/>
  <tableColumns count="3">
    <tableColumn id="1" xr3:uid="{13A8EF3D-514D-404F-96AA-418DF014B877}" name="Concepto" dataDxfId="518" dataCellStyle="Estilo 2"/>
    <tableColumn id="2" xr3:uid="{1EDC8645-D7E7-4EEE-815B-B60F52A45C2A}" name="Categoría" dataDxfId="517" dataCellStyle="Estilo 2"/>
    <tableColumn id="3" xr3:uid="{3E6A2865-6D62-489E-8D40-34A5355AC2A9}" name="Monto" dataDxfId="516" dataCellStyle="Estilo 2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721AE52-3B91-40C9-828B-1ADE3A32177A}" name="ingresos_febrero" displayName="ingresos_febrero" ref="B4:D7" totalsRowShown="0">
  <autoFilter ref="B4:D7" xr:uid="{5721AE52-3B91-40C9-828B-1ADE3A32177A}"/>
  <tableColumns count="3">
    <tableColumn id="1" xr3:uid="{E3DD69DD-56D4-458D-AEE9-BA05A270C56E}" name="Concepto" dataDxfId="515"/>
    <tableColumn id="2" xr3:uid="{FC126BD6-4E2B-4505-87B0-46D9FF441F5A}" name="Categoría" dataDxfId="514"/>
    <tableColumn id="3" xr3:uid="{67548AF2-BB25-42DE-A6A6-059CE332E3D3}" name="Monto" dataDxfId="513"/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67150B2-CC96-4325-8246-399456CDFEF8}" name="gastos_marzo" displayName="gastos_marzo" ref="G4:I12" totalsRowShown="0" headerRowBorderDxfId="469" tableBorderDxfId="468">
  <autoFilter ref="G4:I12" xr:uid="{467150B2-CC96-4325-8246-399456CDFEF8}"/>
  <tableColumns count="3">
    <tableColumn id="1" xr3:uid="{A395A7B1-10AD-4B30-815D-C7B4E8A23C33}" name="Concepto" dataDxfId="467" dataCellStyle="Estilo 2"/>
    <tableColumn id="2" xr3:uid="{667030DB-7FC9-4517-B0C1-27C4EF8A4D60}" name="Categoría" dataDxfId="466" dataCellStyle="Estilo 2"/>
    <tableColumn id="3" xr3:uid="{929B63EA-79C0-4F33-8877-2D1E2FA30211}" name="Monto" dataDxfId="465" dataCellStyle="Estilo 2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CBF7B4A-C5C7-4713-AF74-366749FAC4F8}" name="ingresos_marzo" displayName="ingresos_marzo" ref="B4:D10" totalsRowShown="0">
  <autoFilter ref="B4:D10" xr:uid="{8CBF7B4A-C5C7-4713-AF74-366749FAC4F8}"/>
  <tableColumns count="3">
    <tableColumn id="1" xr3:uid="{D1E2DF4D-8A42-4F41-B0CA-FC20F6CE23C5}" name="Concepto" dataDxfId="464"/>
    <tableColumn id="2" xr3:uid="{ACF32476-6C16-498B-A5C1-3EA03DA40970}" name="Categoría" dataDxfId="463"/>
    <tableColumn id="3" xr3:uid="{035995E6-DFEC-442F-A559-8B52D808F1DB}" name="Monto" dataDxfId="462"/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FE63844-AAF7-49E1-8FD4-55D3A4487B10}" name="gastos_abril" displayName="gastos_abril" ref="G4:I14" totalsRowShown="0" headerRowBorderDxfId="418" tableBorderDxfId="417">
  <autoFilter ref="G4:I14" xr:uid="{DFE63844-AAF7-49E1-8FD4-55D3A4487B10}"/>
  <tableColumns count="3">
    <tableColumn id="1" xr3:uid="{660B98C9-11D1-45CA-B28C-4D943FF4F9F7}" name="Concepto" dataDxfId="416" dataCellStyle="Estilo 2"/>
    <tableColumn id="2" xr3:uid="{894E7957-FFFA-4427-88A1-56E5780239A9}" name="Categoría" dataDxfId="415" dataCellStyle="Estilo 2"/>
    <tableColumn id="3" xr3:uid="{65DDF95F-AF31-4C2B-8DBE-64CFB11AA989}" name="Monto" dataDxfId="414" dataCellStyle="Estilo 2"/>
  </tableColumns>
  <tableStyleInfo name="Table Style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6854CBC-9871-4526-A9F3-31CD20203306}" name="ingresos_abril" displayName="ingresos_abril" ref="B4:D7" totalsRowShown="0">
  <autoFilter ref="B4:D7" xr:uid="{F6854CBC-9871-4526-A9F3-31CD20203306}"/>
  <tableColumns count="3">
    <tableColumn id="1" xr3:uid="{452B90C2-A92E-40D2-B3DA-C5C5BDBD4AF9}" name="Concepto" dataDxfId="413"/>
    <tableColumn id="2" xr3:uid="{A10B5B59-4FBF-4801-8519-249C21BB1DEF}" name="Categoría" dataDxfId="412"/>
    <tableColumn id="3" xr3:uid="{4FFB569B-C0FB-479C-8162-4D1AEC0556CE}" name="Monto" dataDxfId="411"/>
  </tableColumns>
  <tableStyleInfo name="Table Style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24371D5-D50E-44E8-BD19-82C50FBF5E91}" name="gastos_mayo" displayName="gastos_mayo" ref="G4:I12" totalsRowShown="0" headerRowBorderDxfId="367" tableBorderDxfId="366">
  <autoFilter ref="G4:I12" xr:uid="{324371D5-D50E-44E8-BD19-82C50FBF5E91}"/>
  <tableColumns count="3">
    <tableColumn id="1" xr3:uid="{4C7DA8D9-0BC6-4D5E-96E3-BAB8074FA128}" name="Concepto" dataDxfId="365" dataCellStyle="Estilo 2"/>
    <tableColumn id="2" xr3:uid="{FBC9646A-1DA7-440C-899E-15778924AAAF}" name="Categoría" dataDxfId="364" dataCellStyle="Estilo 2"/>
    <tableColumn id="3" xr3:uid="{0C1973EF-F03D-47D1-B9C7-E243DE4727CA}" name="Monto" dataDxfId="363" dataCellStyle="Estilo 2"/>
  </tableColumns>
  <tableStyleInfo name="Table Style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4B2662A-D25E-4D79-8CA5-15066A7BA06A}" name="ingresos_mayo" displayName="ingresos_mayo" ref="B4:D7" totalsRowShown="0">
  <autoFilter ref="B4:D7" xr:uid="{14B2662A-D25E-4D79-8CA5-15066A7BA06A}"/>
  <tableColumns count="3">
    <tableColumn id="1" xr3:uid="{B5F5A59A-C2FD-4ADA-852F-A236EBEDECA3}" name="Concepto" dataDxfId="362"/>
    <tableColumn id="2" xr3:uid="{2781B973-8C35-4C72-8ECC-3B99C9BC37F2}" name="Categoría" dataDxfId="361"/>
    <tableColumn id="3" xr3:uid="{5341AFC9-71D7-48B8-A927-0AEB1B9F79F4}" name="Monto" dataDxfId="360"/>
  </tableColumns>
  <tableStyleInfo name="Table Style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FE6F8A4-D350-4450-838D-4EB26875D16E}" name="gastos_junio" displayName="gastos_junio" ref="G4:I13" totalsRowShown="0" headerRowBorderDxfId="316" tableBorderDxfId="315">
  <autoFilter ref="G4:I13" xr:uid="{0FE6F8A4-D350-4450-838D-4EB26875D16E}"/>
  <tableColumns count="3">
    <tableColumn id="1" xr3:uid="{97E0C687-465D-420C-A3E2-98007CD537AD}" name="Concepto" dataDxfId="314" dataCellStyle="Estilo 2"/>
    <tableColumn id="2" xr3:uid="{B4E62C7A-3D96-41B8-9F87-B3415B757ECC}" name="Categoría" dataDxfId="313" dataCellStyle="Estilo 2"/>
    <tableColumn id="3" xr3:uid="{CBF43C93-8B54-4155-BEE1-2179D156CD8C}" name="Monto" dataDxfId="312" dataCellStyle="Estilo 2"/>
  </tableColumns>
  <tableStyleInfo name="Table Style 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11884F8-8325-4F1C-9F4E-72F862DA2F0B}" name="ingresos_junio" displayName="ingresos_junio" ref="B4:D7" totalsRowShown="0">
  <autoFilter ref="B4:D7" xr:uid="{C11884F8-8325-4F1C-9F4E-72F862DA2F0B}"/>
  <tableColumns count="3">
    <tableColumn id="1" xr3:uid="{E349BB2E-031E-4977-B1ED-B3DA7342B2B2}" name="Concepto" dataDxfId="311"/>
    <tableColumn id="2" xr3:uid="{58399B6A-C0AE-474D-B62F-E000B7F3974B}" name="Categoría" dataDxfId="310"/>
    <tableColumn id="3" xr3:uid="{6426CB32-A9BC-4264-BE5F-17274BE09EBA}" name="Monto" dataDxfId="309"/>
  </tableColumns>
  <tableStyleInfo name="Table Style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580A368-10EC-4383-9AB0-30ECBBA619D8}" name="gastos_julio" displayName="gastos_julio" ref="G4:I12" totalsRowShown="0" headerRowBorderDxfId="265" tableBorderDxfId="264">
  <autoFilter ref="G4:I12" xr:uid="{0580A368-10EC-4383-9AB0-30ECBBA619D8}"/>
  <tableColumns count="3">
    <tableColumn id="1" xr3:uid="{044F8461-6C8D-414E-9568-CEE65C09C7F0}" name="Concepto" dataDxfId="263" dataCellStyle="Estilo 2"/>
    <tableColumn id="2" xr3:uid="{9EE064F7-E58E-4DEA-8B59-8EB46CABBE89}" name="Categoría" dataDxfId="262" dataCellStyle="Estilo 2"/>
    <tableColumn id="3" xr3:uid="{B78FD962-7018-4674-8571-F75B4066872F}" name="Monto" dataDxfId="261" dataCellStyle="Estilo 2"/>
  </tableColumns>
  <tableStyleInfo name="Table Style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7A375C9-EB8C-4847-9637-96B1B5EC7890}" name="ingresos_julio" displayName="ingresos_julio" ref="B4:D8" totalsRowShown="0">
  <autoFilter ref="B4:D8" xr:uid="{D7A375C9-EB8C-4847-9637-96B1B5EC7890}"/>
  <tableColumns count="3">
    <tableColumn id="1" xr3:uid="{CA8CFD50-2B97-4256-8B59-405B880C916C}" name="Concepto" dataDxfId="260"/>
    <tableColumn id="2" xr3:uid="{FF74F0DA-0E23-48DE-A93F-5D7A394B253E}" name="Categoría" dataDxfId="259"/>
    <tableColumn id="3" xr3:uid="{081DE582-73A2-4A41-9569-A7B6C33C044F}" name="Monto" dataDxfId="258"/>
  </tableColumns>
  <tableStyleInfo name="Table Style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64E067F-57A6-45DA-94BA-966EAD8D08E4}" name="gastos_agosto" displayName="gastos_agosto" ref="G4:I12" totalsRowShown="0" headerRowBorderDxfId="214" tableBorderDxfId="213">
  <autoFilter ref="G4:I12" xr:uid="{864E067F-57A6-45DA-94BA-966EAD8D08E4}"/>
  <tableColumns count="3">
    <tableColumn id="1" xr3:uid="{60CE3895-6976-4AC4-AAC2-00EE03A7FC19}" name="Concepto" dataDxfId="212" dataCellStyle="Estilo 2"/>
    <tableColumn id="2" xr3:uid="{28F82B3B-A8C4-4DCF-A240-9B0A8419671F}" name="Categoría" dataDxfId="211" dataCellStyle="Estilo 2"/>
    <tableColumn id="3" xr3:uid="{A7B013EB-2768-4DA2-85D7-5B09D2DCB718}" name="Monto" dataDxfId="210" dataCellStyle="Estilo 2"/>
  </tableColumns>
  <tableStyleInfo name="Table Style 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5DAA1C8-D4EF-4FE5-A7BA-733C7AE37074}" name="ingresos_agosto" displayName="ingresos_agosto" ref="B4:D7" totalsRowShown="0">
  <autoFilter ref="B4:D7" xr:uid="{35DAA1C8-D4EF-4FE5-A7BA-733C7AE37074}"/>
  <tableColumns count="3">
    <tableColumn id="1" xr3:uid="{29C8B3C3-A86C-47EC-AFE1-1CF792241379}" name="Concepto" dataDxfId="209"/>
    <tableColumn id="2" xr3:uid="{22A8C83D-7202-4DFB-898B-312257D98FF7}" name="Categoría" dataDxfId="208"/>
    <tableColumn id="3" xr3:uid="{5732785B-4A1C-457F-9ED8-1CCC825C957B}" name="Monto" dataDxfId="207"/>
  </tableColumns>
  <tableStyleInfo name="Table Style 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B0FC2B5-DB33-47A3-91F4-51958FE18F4D}" name="gastos_septiembre" displayName="gastos_septiembre" ref="G4:I12" totalsRowShown="0" headerRowBorderDxfId="163" tableBorderDxfId="162">
  <autoFilter ref="G4:I12" xr:uid="{AB0FC2B5-DB33-47A3-91F4-51958FE18F4D}"/>
  <tableColumns count="3">
    <tableColumn id="1" xr3:uid="{023D80D8-646A-433B-9B00-71864155BA14}" name="Concepto" dataDxfId="161" dataCellStyle="Estilo 2"/>
    <tableColumn id="2" xr3:uid="{433B94B1-B771-43E6-BD0A-E204B00F6D34}" name="Categoría" dataDxfId="160" dataCellStyle="Estilo 2"/>
    <tableColumn id="3" xr3:uid="{105DD4F0-B192-4388-82D0-F2C400B46CAD}" name="Monto" dataDxfId="159" dataCellStyle="Estilo 2"/>
  </tableColumns>
  <tableStyleInfo name="Table Style 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86F0F9A-1BDD-4C80-8AF2-DFC6C3DE7147}" name="ingresos_septiembre" displayName="ingresos_septiembre" ref="B4:D7" totalsRowShown="0">
  <autoFilter ref="B4:D7" xr:uid="{686F0F9A-1BDD-4C80-8AF2-DFC6C3DE7147}"/>
  <tableColumns count="3">
    <tableColumn id="1" xr3:uid="{9717E17A-0B85-4444-85BC-756F6E1A7CB3}" name="Concepto" dataDxfId="158"/>
    <tableColumn id="2" xr3:uid="{7447BA4F-3D5E-495B-8392-FE34813D1438}" name="Categoría" dataDxfId="157"/>
    <tableColumn id="3" xr3:uid="{BD071D01-07B0-4B44-B5E7-868AD5B08255}" name="Monto" dataDxfId="156"/>
  </tableColumns>
  <tableStyleInfo name="Table Style 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2E0C438-1BD5-4C50-A294-2FF6B59E29DD}" name="gastos_octubre" displayName="gastos_octubre" ref="G4:I12" totalsRowShown="0" headerRowBorderDxfId="112" tableBorderDxfId="111">
  <autoFilter ref="G4:I12" xr:uid="{22E0C438-1BD5-4C50-A294-2FF6B59E29DD}"/>
  <tableColumns count="3">
    <tableColumn id="1" xr3:uid="{78BCD6DE-5111-452E-A739-F39629EE3945}" name="Concepto" dataDxfId="110" dataCellStyle="Estilo 2"/>
    <tableColumn id="2" xr3:uid="{1B9315B0-717C-45DE-8F3C-4786473FF9ED}" name="Categoría" dataDxfId="109" dataCellStyle="Estilo 2"/>
    <tableColumn id="3" xr3:uid="{8051785D-B020-4D01-B144-DFCEE9A10A4C}" name="Monto" dataDxfId="108" dataCellStyle="Estilo 2"/>
  </tableColumns>
  <tableStyleInfo name="Table Style 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CE8CEB1-3C56-495D-A592-D4CAA40E2969}" name="ingresos_octubre" displayName="ingresos_octubre" ref="B4:D7" totalsRowShown="0">
  <autoFilter ref="B4:D7" xr:uid="{0CE8CEB1-3C56-495D-A592-D4CAA40E2969}"/>
  <tableColumns count="3">
    <tableColumn id="1" xr3:uid="{6BFBF827-22A6-44D2-BE31-D5CEB86EF19D}" name="Concepto" dataDxfId="107"/>
    <tableColumn id="2" xr3:uid="{970F6E44-19DB-4B6C-A745-97ED8A6CFC2C}" name="Categoría" dataDxfId="106"/>
    <tableColumn id="3" xr3:uid="{7702CF59-2092-4A80-89E7-357BF5156BCF}" name="Monto" dataDxfId="105"/>
  </tableColumns>
  <tableStyleInfo name="Table Style 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10953E1D-10D7-418B-BE98-68FDE2699CDD}" name="gastos_noviembre" displayName="gastos_noviembre" ref="G4:I13" totalsRowShown="0" headerRowBorderDxfId="61" tableBorderDxfId="60">
  <autoFilter ref="G4:I13" xr:uid="{10953E1D-10D7-418B-BE98-68FDE2699CDD}"/>
  <tableColumns count="3">
    <tableColumn id="1" xr3:uid="{1C8C8B3E-7901-4D45-9431-C8C3CC8CBB75}" name="Concepto" dataDxfId="59" dataCellStyle="Estilo 2"/>
    <tableColumn id="2" xr3:uid="{BC80E133-225C-4F36-96A6-2D4B00CE98DC}" name="Categoría" dataDxfId="58" dataCellStyle="Estilo 2"/>
    <tableColumn id="3" xr3:uid="{FA65C2ED-A125-42D2-894E-223D77095344}" name="Monto" dataDxfId="57" dataCellStyle="Estilo 2"/>
  </tableColumns>
  <tableStyleInfo name="Table Style 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34A97AC-5D47-4A74-9FDA-872C503C7AFC}" name="ingresos_noviembre" displayName="ingresos_noviembre" ref="B4:D7" totalsRowShown="0">
  <autoFilter ref="B4:D7" xr:uid="{B34A97AC-5D47-4A74-9FDA-872C503C7AFC}"/>
  <tableColumns count="3">
    <tableColumn id="1" xr3:uid="{2E42E2B5-0D63-4533-A3B1-E66C96FBA125}" name="Concepto" dataDxfId="56"/>
    <tableColumn id="2" xr3:uid="{25E2261B-EBD0-4191-A640-41E84E1A1058}" name="Categoría" dataDxfId="55"/>
    <tableColumn id="3" xr3:uid="{58670DE8-16DC-49D7-A41C-515EE248547B}" name="Monto" dataDxfId="54"/>
  </tableColumns>
  <tableStyleInfo name="Table Style 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B57D5DA9-21BA-42C1-94D6-5699B5228C4F}" name="gastos_diciembre" displayName="gastos_diciembre" ref="G4:I12" totalsRowShown="0" headerRowBorderDxfId="10" tableBorderDxfId="9">
  <autoFilter ref="G4:I12" xr:uid="{B57D5DA9-21BA-42C1-94D6-5699B5228C4F}"/>
  <tableColumns count="3">
    <tableColumn id="1" xr3:uid="{1E0CD311-A7D1-4DD9-8EAE-83833EACFC01}" name="Concepto" dataDxfId="8" dataCellStyle="Estilo 2"/>
    <tableColumn id="2" xr3:uid="{97BFD6CF-D037-4CA2-A60B-DFBCBC2654E9}" name="Categoría" dataDxfId="7" dataCellStyle="Estilo 2"/>
    <tableColumn id="3" xr3:uid="{0F5E1290-662A-44B4-ACA1-F4021221392E}" name="Monto" dataDxfId="6" dataCellStyle="Estilo 2"/>
  </tableColumns>
  <tableStyleInfo name="Table Style 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32063EA-7CBA-4019-A855-5602BAFBFF4E}" name="ingresos_diciembre" displayName="ingresos_diciembre" ref="B4:D7" totalsRowShown="0">
  <autoFilter ref="B4:D7" xr:uid="{632063EA-7CBA-4019-A855-5602BAFBFF4E}"/>
  <tableColumns count="3">
    <tableColumn id="1" xr3:uid="{D2D48894-5CC6-4A57-B22C-3CC7CBE22419}" name="Concepto" dataDxfId="5"/>
    <tableColumn id="2" xr3:uid="{28C2068F-B012-4306-BFA6-B601765549D8}" name="Categoría" dataDxfId="4"/>
    <tableColumn id="3" xr3:uid="{ECA4C798-6601-4071-9FA8-6E536305B1FF}" name="Monto" dataDxfId="3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Relationship Id="rId4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6.xml"/><Relationship Id="rId4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7.xml"/><Relationship Id="rId4" Type="http://schemas.openxmlformats.org/officeDocument/2006/relationships/table" Target="../tables/table1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8.xml"/><Relationship Id="rId4" Type="http://schemas.openxmlformats.org/officeDocument/2006/relationships/table" Target="../tables/table1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9.xml"/><Relationship Id="rId4" Type="http://schemas.openxmlformats.org/officeDocument/2006/relationships/table" Target="../tables/table1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0.xml"/><Relationship Id="rId4" Type="http://schemas.openxmlformats.org/officeDocument/2006/relationships/table" Target="../tables/table2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1.xml"/><Relationship Id="rId4" Type="http://schemas.openxmlformats.org/officeDocument/2006/relationships/table" Target="../tables/table2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2.xml"/><Relationship Id="rId4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3C3F-3885-4BE6-AEFA-9667BC3186A4}">
  <dimension ref="B1:Q30"/>
  <sheetViews>
    <sheetView zoomScaleNormal="100" workbookViewId="0">
      <selection activeCell="P14" sqref="P14"/>
    </sheetView>
  </sheetViews>
  <sheetFormatPr baseColWidth="10" defaultColWidth="11.42578125" defaultRowHeight="18" customHeight="1" x14ac:dyDescent="0.25"/>
  <cols>
    <col min="1" max="1" width="3.85546875" style="1" customWidth="1"/>
    <col min="2" max="2" width="11.42578125" style="1"/>
    <col min="3" max="3" width="19.85546875" style="1" customWidth="1"/>
    <col min="4" max="4" width="18" style="1" customWidth="1"/>
    <col min="5" max="5" width="16.42578125" style="1" customWidth="1"/>
    <col min="6" max="6" width="14.7109375" style="1" customWidth="1"/>
    <col min="7" max="7" width="15.140625" style="1" customWidth="1"/>
    <col min="8" max="8" width="15.5703125" style="1" customWidth="1"/>
    <col min="9" max="9" width="17.140625" style="1" customWidth="1"/>
    <col min="10" max="10" width="17.85546875" style="1" customWidth="1"/>
    <col min="11" max="13" width="16.7109375" style="1" customWidth="1"/>
    <col min="14" max="14" width="15.5703125" style="1" customWidth="1"/>
    <col min="15" max="15" width="6" style="1" customWidth="1"/>
    <col min="16" max="16" width="19.85546875" style="1" bestFit="1" customWidth="1"/>
    <col min="17" max="17" width="13.5703125" style="1" bestFit="1" customWidth="1"/>
    <col min="18" max="16384" width="11.42578125" style="1"/>
  </cols>
  <sheetData>
    <row r="1" spans="2:17" ht="8.25" customHeight="1" thickBot="1" x14ac:dyDescent="0.3"/>
    <row r="2" spans="2:17" ht="39" customHeight="1" thickTop="1" thickBot="1" x14ac:dyDescent="0.3">
      <c r="B2" s="36" t="s">
        <v>23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P2" s="12" t="s">
        <v>24</v>
      </c>
      <c r="Q2" s="13">
        <v>350</v>
      </c>
    </row>
    <row r="3" spans="2:17" ht="18" customHeight="1" thickTop="1" x14ac:dyDescent="0.25"/>
    <row r="4" spans="2:17" ht="17.25" x14ac:dyDescent="0.25"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15</v>
      </c>
      <c r="K4" s="14" t="s">
        <v>16</v>
      </c>
      <c r="L4" s="14" t="s">
        <v>17</v>
      </c>
      <c r="M4" s="14" t="s">
        <v>18</v>
      </c>
      <c r="N4" s="14" t="s">
        <v>19</v>
      </c>
    </row>
    <row r="5" spans="2:17" ht="18.75" x14ac:dyDescent="0.25">
      <c r="B5" s="15" t="s">
        <v>20</v>
      </c>
      <c r="C5" s="10">
        <f>Enero!$D$2</f>
        <v>2271</v>
      </c>
      <c r="D5" s="10">
        <f>Febrero!$D$2</f>
        <v>2077</v>
      </c>
      <c r="E5" s="10">
        <f>Marzo!$D$2</f>
        <v>2010</v>
      </c>
      <c r="F5" s="10">
        <f>Abril!$D$2</f>
        <v>2275</v>
      </c>
      <c r="G5" s="10">
        <f>Mayo!$D$2</f>
        <v>1850</v>
      </c>
      <c r="H5" s="10">
        <f>Junio!$D$2</f>
        <v>2147</v>
      </c>
      <c r="I5" s="10">
        <f>Julio!$D$2</f>
        <v>2550</v>
      </c>
      <c r="J5" s="10">
        <f>Agosto!$D$2</f>
        <v>2095</v>
      </c>
      <c r="K5" s="10">
        <f>Septiembre!$D$2</f>
        <v>1625</v>
      </c>
      <c r="L5" s="10">
        <f>Octubre!$D$2</f>
        <v>1973</v>
      </c>
      <c r="M5" s="10">
        <f>Noviembre!$D$2</f>
        <v>2130</v>
      </c>
      <c r="N5" s="10">
        <f>Diciembre!$D$2</f>
        <v>1829</v>
      </c>
      <c r="P5"/>
      <c r="Q5"/>
    </row>
    <row r="6" spans="2:17" ht="18.75" x14ac:dyDescent="0.25">
      <c r="B6" s="16" t="s">
        <v>21</v>
      </c>
      <c r="C6" s="10">
        <f>Enero!$I$2</f>
        <v>1915</v>
      </c>
      <c r="D6" s="10">
        <f>Febrero!$I$2</f>
        <v>1943</v>
      </c>
      <c r="E6" s="10">
        <f>Marzo!$I$2</f>
        <v>1754</v>
      </c>
      <c r="F6" s="10">
        <f>Abril!$I$2</f>
        <v>2505</v>
      </c>
      <c r="G6" s="10">
        <f>Mayo!$I$2</f>
        <v>1740</v>
      </c>
      <c r="H6" s="10">
        <f>Junio!$I$2</f>
        <v>1915</v>
      </c>
      <c r="I6" s="10">
        <f>Julio!$I$2</f>
        <v>1925</v>
      </c>
      <c r="J6" s="10">
        <f>Agosto!$I$2</f>
        <v>1805</v>
      </c>
      <c r="K6" s="10">
        <f>Septiembre!$I$2</f>
        <v>1715</v>
      </c>
      <c r="L6" s="10">
        <f>Octubre!$I$2</f>
        <v>1810</v>
      </c>
      <c r="M6" s="10">
        <f>Noviembre!$I$2</f>
        <v>1893</v>
      </c>
      <c r="N6" s="10">
        <f>Diciembre!$I$2</f>
        <v>1718</v>
      </c>
    </row>
    <row r="7" spans="2:17" ht="15.75" thickBot="1" x14ac:dyDescent="0.3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P7"/>
      <c r="Q7"/>
    </row>
    <row r="8" spans="2:17" ht="16.5" thickBot="1" x14ac:dyDescent="0.3">
      <c r="B8" s="18" t="s">
        <v>22</v>
      </c>
      <c r="C8" s="17">
        <f>C5-C6</f>
        <v>356</v>
      </c>
      <c r="D8" s="7">
        <f t="shared" ref="D8:N8" si="0">D5-D6</f>
        <v>134</v>
      </c>
      <c r="E8" s="7">
        <f t="shared" si="0"/>
        <v>256</v>
      </c>
      <c r="F8" s="7">
        <f t="shared" si="0"/>
        <v>-230</v>
      </c>
      <c r="G8" s="7">
        <f t="shared" si="0"/>
        <v>110</v>
      </c>
      <c r="H8" s="7">
        <f t="shared" si="0"/>
        <v>232</v>
      </c>
      <c r="I8" s="7">
        <f t="shared" si="0"/>
        <v>625</v>
      </c>
      <c r="J8" s="7">
        <f t="shared" si="0"/>
        <v>290</v>
      </c>
      <c r="K8" s="7">
        <f t="shared" si="0"/>
        <v>-90</v>
      </c>
      <c r="L8" s="7">
        <f t="shared" si="0"/>
        <v>163</v>
      </c>
      <c r="M8" s="7">
        <f t="shared" si="0"/>
        <v>237</v>
      </c>
      <c r="N8" s="7">
        <f t="shared" si="0"/>
        <v>111</v>
      </c>
      <c r="P8"/>
      <c r="Q8"/>
    </row>
    <row r="9" spans="2:17" ht="16.5" thickBot="1" x14ac:dyDescent="0.3">
      <c r="B9" s="18" t="s">
        <v>7</v>
      </c>
      <c r="C9" s="17">
        <f>SUM(C8)</f>
        <v>356</v>
      </c>
      <c r="D9" s="7">
        <f>SUM(C9+D8)</f>
        <v>490</v>
      </c>
      <c r="E9" s="7">
        <f t="shared" ref="E9:N9" si="1">SUM(D9+E8)</f>
        <v>746</v>
      </c>
      <c r="F9" s="7">
        <f t="shared" si="1"/>
        <v>516</v>
      </c>
      <c r="G9" s="7">
        <f t="shared" si="1"/>
        <v>626</v>
      </c>
      <c r="H9" s="7">
        <f t="shared" si="1"/>
        <v>858</v>
      </c>
      <c r="I9" s="7">
        <f t="shared" si="1"/>
        <v>1483</v>
      </c>
      <c r="J9" s="7">
        <f t="shared" si="1"/>
        <v>1773</v>
      </c>
      <c r="K9" s="7">
        <f t="shared" si="1"/>
        <v>1683</v>
      </c>
      <c r="L9" s="7">
        <f t="shared" si="1"/>
        <v>1846</v>
      </c>
      <c r="M9" s="7">
        <f t="shared" si="1"/>
        <v>2083</v>
      </c>
      <c r="N9" s="7">
        <f t="shared" si="1"/>
        <v>2194</v>
      </c>
      <c r="P9"/>
      <c r="Q9"/>
    </row>
    <row r="10" spans="2:17" ht="15" x14ac:dyDescent="0.25">
      <c r="P10"/>
      <c r="Q10"/>
    </row>
    <row r="11" spans="2:17" ht="15" x14ac:dyDescent="0.25">
      <c r="P11"/>
      <c r="Q11"/>
    </row>
    <row r="12" spans="2:17" ht="15" x14ac:dyDescent="0.25">
      <c r="P12"/>
      <c r="Q12"/>
    </row>
    <row r="13" spans="2:17" ht="15" x14ac:dyDescent="0.25">
      <c r="P13"/>
      <c r="Q13"/>
    </row>
    <row r="14" spans="2:17" ht="15" x14ac:dyDescent="0.25">
      <c r="M14"/>
      <c r="P14"/>
      <c r="Q14"/>
    </row>
    <row r="15" spans="2:17" ht="15" x14ac:dyDescent="0.25">
      <c r="M15"/>
      <c r="P15"/>
      <c r="Q15"/>
    </row>
    <row r="16" spans="2:17" ht="18" customHeight="1" x14ac:dyDescent="0.25">
      <c r="M16"/>
    </row>
    <row r="17" spans="2:14" ht="18" customHeight="1" x14ac:dyDescent="0.25">
      <c r="M17"/>
    </row>
    <row r="18" spans="2:14" ht="18" customHeight="1" x14ac:dyDescent="0.25">
      <c r="M18"/>
    </row>
    <row r="19" spans="2:14" ht="18" customHeight="1" x14ac:dyDescent="0.25">
      <c r="M19"/>
    </row>
    <row r="20" spans="2:14" ht="18" customHeight="1" x14ac:dyDescent="0.25">
      <c r="M20"/>
    </row>
    <row r="21" spans="2:14" ht="18" customHeight="1" x14ac:dyDescent="0.25">
      <c r="M21"/>
    </row>
    <row r="22" spans="2:14" ht="18" customHeight="1" x14ac:dyDescent="0.25">
      <c r="M22"/>
    </row>
    <row r="23" spans="2:14" ht="18" customHeight="1" x14ac:dyDescent="0.25">
      <c r="M23"/>
    </row>
    <row r="24" spans="2:14" ht="18" customHeight="1" x14ac:dyDescent="0.25">
      <c r="M24"/>
    </row>
    <row r="25" spans="2:14" ht="18" customHeight="1" x14ac:dyDescent="0.25">
      <c r="M25"/>
    </row>
    <row r="26" spans="2:14" ht="18" customHeight="1" x14ac:dyDescent="0.25">
      <c r="K26"/>
      <c r="L26"/>
      <c r="M26"/>
    </row>
    <row r="28" spans="2:14" ht="18" customHeight="1" x14ac:dyDescent="0.25">
      <c r="B28" s="45" t="s">
        <v>60</v>
      </c>
      <c r="C28" s="46"/>
      <c r="D28" s="47"/>
      <c r="E28" s="45" t="s">
        <v>61</v>
      </c>
      <c r="F28" s="46"/>
      <c r="G28" s="47"/>
      <c r="H28" s="31"/>
      <c r="I28" s="14" t="s">
        <v>62</v>
      </c>
      <c r="J28" s="14" t="s">
        <v>64</v>
      </c>
      <c r="K28" s="31"/>
      <c r="L28" s="31"/>
      <c r="M28" s="14" t="s">
        <v>63</v>
      </c>
      <c r="N28" s="14" t="s">
        <v>65</v>
      </c>
    </row>
    <row r="29" spans="2:14" ht="18" customHeight="1" x14ac:dyDescent="0.25">
      <c r="B29" s="37">
        <f>AVERAGEIF(C5:N5,"&lt;&gt;0")</f>
        <v>2069.3333333333335</v>
      </c>
      <c r="C29" s="38"/>
      <c r="D29" s="39"/>
      <c r="E29" s="37">
        <f>AVERAGEIF(C6:N6,"&lt;&gt;0")</f>
        <v>1886.5</v>
      </c>
      <c r="F29" s="38"/>
      <c r="G29" s="39"/>
      <c r="I29" s="37">
        <f>MAX(C5:N5)</f>
        <v>2550</v>
      </c>
      <c r="J29" s="43">
        <f>_xlfn.MINIFS(C5:N5,C5:N5,"&lt;&gt;0")</f>
        <v>1625</v>
      </c>
      <c r="K29" s="31"/>
      <c r="L29" s="31"/>
      <c r="M29" s="37">
        <f>MAX(C6:N6)</f>
        <v>2505</v>
      </c>
      <c r="N29" s="43">
        <f>_xlfn.MINIFS(C6:N6,C6:N6,"&lt;&gt;0")</f>
        <v>1715</v>
      </c>
    </row>
    <row r="30" spans="2:14" ht="18" customHeight="1" x14ac:dyDescent="0.25">
      <c r="B30" s="40"/>
      <c r="C30" s="41"/>
      <c r="D30" s="42"/>
      <c r="E30" s="40"/>
      <c r="F30" s="41"/>
      <c r="G30" s="42"/>
      <c r="I30" s="40"/>
      <c r="J30" s="44"/>
      <c r="K30" s="31"/>
      <c r="L30" s="31"/>
      <c r="M30" s="40"/>
      <c r="N30" s="44"/>
    </row>
  </sheetData>
  <mergeCells count="9">
    <mergeCell ref="B2:N2"/>
    <mergeCell ref="B29:D30"/>
    <mergeCell ref="E29:G30"/>
    <mergeCell ref="I29:I30"/>
    <mergeCell ref="J29:J30"/>
    <mergeCell ref="M29:M30"/>
    <mergeCell ref="N29:N30"/>
    <mergeCell ref="B28:D28"/>
    <mergeCell ref="E28:G28"/>
  </mergeCells>
  <conditionalFormatting sqref="C8:N9">
    <cfRule type="cellIs" dxfId="2" priority="14" operator="greaterThan">
      <formula>$Q$2</formula>
    </cfRule>
    <cfRule type="cellIs" dxfId="1" priority="15" operator="lessThan">
      <formula>0</formula>
    </cfRule>
    <cfRule type="cellIs" dxfId="0" priority="16" operator="between">
      <formula>0</formula>
      <formula>$Q$2</formula>
    </cfRule>
  </conditionalFormatting>
  <pageMargins left="0.7" right="0.7" top="0.75" bottom="0.75" header="0.3" footer="0.3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0A91-D37B-4351-8B06-F4F94545E486}">
  <dimension ref="B2:R45"/>
  <sheetViews>
    <sheetView tabSelected="1" zoomScaleNormal="100" workbookViewId="0">
      <selection activeCell="G22" sqref="G22"/>
    </sheetView>
  </sheetViews>
  <sheetFormatPr baseColWidth="10" defaultColWidth="9.140625" defaultRowHeight="15" customHeight="1" x14ac:dyDescent="0.25"/>
  <cols>
    <col min="1" max="1" width="9.140625" style="2"/>
    <col min="2" max="2" width="31.42578125" style="2" customWidth="1"/>
    <col min="3" max="3" width="19.42578125" style="2" customWidth="1"/>
    <col min="4" max="4" width="17.5703125" style="3" customWidth="1"/>
    <col min="5" max="6" width="9.140625" style="2"/>
    <col min="7" max="7" width="28.42578125" style="2" bestFit="1" customWidth="1"/>
    <col min="8" max="8" width="14" style="2" bestFit="1" customWidth="1"/>
    <col min="9" max="9" width="18.5703125" style="2" customWidth="1"/>
    <col min="10" max="10" width="15.85546875" style="2" bestFit="1" customWidth="1"/>
    <col min="11" max="11" width="11.28515625" style="2" customWidth="1"/>
    <col min="12" max="12" width="15.85546875" style="2" bestFit="1" customWidth="1"/>
    <col min="13" max="13" width="9.5703125" style="2" bestFit="1" customWidth="1"/>
    <col min="14" max="14" width="18.7109375" style="2" customWidth="1"/>
    <col min="15" max="15" width="13.7109375" style="2" customWidth="1"/>
    <col min="16" max="17" width="9.140625" style="2"/>
    <col min="18" max="18" width="15.85546875" style="2" bestFit="1" customWidth="1"/>
    <col min="19" max="19" width="11.28515625" style="2" bestFit="1" customWidth="1"/>
    <col min="20" max="16384" width="9.140625" style="2"/>
  </cols>
  <sheetData>
    <row r="2" spans="2:18" ht="15" customHeight="1" x14ac:dyDescent="0.25">
      <c r="B2" s="21" t="s">
        <v>28</v>
      </c>
      <c r="C2" s="21" t="s">
        <v>25</v>
      </c>
      <c r="D2" s="20">
        <f>SUM(ingresos_enero[Monto])</f>
        <v>2271</v>
      </c>
      <c r="G2" s="21" t="s">
        <v>27</v>
      </c>
      <c r="H2" s="21" t="s">
        <v>25</v>
      </c>
      <c r="I2" s="20">
        <f>GETPIVOTDATA("Monto",$L$4)</f>
        <v>1915</v>
      </c>
      <c r="L2" s="48" t="s">
        <v>29</v>
      </c>
      <c r="M2" s="49"/>
      <c r="R2" s="4"/>
    </row>
    <row r="4" spans="2:18" ht="15" customHeight="1" x14ac:dyDescent="0.25">
      <c r="B4" s="2" t="s">
        <v>30</v>
      </c>
      <c r="C4" s="2" t="s">
        <v>31</v>
      </c>
      <c r="D4" s="3" t="s">
        <v>32</v>
      </c>
      <c r="G4" s="22" t="s">
        <v>30</v>
      </c>
      <c r="H4" s="23" t="s">
        <v>31</v>
      </c>
      <c r="I4" s="27" t="s">
        <v>32</v>
      </c>
      <c r="L4" s="30" t="s">
        <v>6</v>
      </c>
      <c r="M4" s="34" t="s">
        <v>36</v>
      </c>
    </row>
    <row r="5" spans="2:18" ht="15" customHeight="1" x14ac:dyDescent="0.25">
      <c r="B5" s="2" t="s">
        <v>67</v>
      </c>
      <c r="C5" s="2" t="s">
        <v>33</v>
      </c>
      <c r="D5" s="3">
        <v>1675</v>
      </c>
      <c r="G5" s="11" t="s">
        <v>26</v>
      </c>
      <c r="H5" s="5" t="s">
        <v>0</v>
      </c>
      <c r="I5" s="28">
        <v>300</v>
      </c>
      <c r="L5" s="35" t="s">
        <v>0</v>
      </c>
      <c r="M5" s="34">
        <v>300</v>
      </c>
    </row>
    <row r="6" spans="2:18" ht="15" customHeight="1" x14ac:dyDescent="0.25">
      <c r="B6" s="2" t="s">
        <v>66</v>
      </c>
      <c r="C6" s="2" t="s">
        <v>59</v>
      </c>
      <c r="D6" s="3">
        <v>200</v>
      </c>
      <c r="G6" s="11" t="s">
        <v>68</v>
      </c>
      <c r="H6" s="5" t="s">
        <v>2</v>
      </c>
      <c r="I6" s="28">
        <v>650</v>
      </c>
      <c r="L6" s="35" t="s">
        <v>5</v>
      </c>
      <c r="M6" s="34">
        <v>150</v>
      </c>
    </row>
    <row r="7" spans="2:18" ht="15" customHeight="1" x14ac:dyDescent="0.25">
      <c r="B7" s="2" t="s">
        <v>57</v>
      </c>
      <c r="C7" s="2" t="s">
        <v>4</v>
      </c>
      <c r="D7" s="3">
        <v>349</v>
      </c>
      <c r="G7" s="11" t="s">
        <v>69</v>
      </c>
      <c r="H7" s="5" t="s">
        <v>1</v>
      </c>
      <c r="I7" s="28">
        <v>45</v>
      </c>
      <c r="L7" s="35" t="s">
        <v>1</v>
      </c>
      <c r="M7" s="34">
        <v>170</v>
      </c>
    </row>
    <row r="8" spans="2:18" ht="15" customHeight="1" x14ac:dyDescent="0.25">
      <c r="B8" s="2" t="s">
        <v>58</v>
      </c>
      <c r="C8" s="2" t="s">
        <v>4</v>
      </c>
      <c r="D8" s="3">
        <v>47</v>
      </c>
      <c r="G8" s="11" t="s">
        <v>70</v>
      </c>
      <c r="H8" s="5" t="s">
        <v>71</v>
      </c>
      <c r="I8" s="28">
        <v>300</v>
      </c>
      <c r="L8" s="35" t="s">
        <v>3</v>
      </c>
      <c r="M8" s="34">
        <v>145</v>
      </c>
    </row>
    <row r="9" spans="2:18" ht="15" customHeight="1" x14ac:dyDescent="0.25">
      <c r="G9" s="11" t="s">
        <v>72</v>
      </c>
      <c r="H9" s="5" t="s">
        <v>3</v>
      </c>
      <c r="I9" s="28">
        <v>120</v>
      </c>
      <c r="L9" s="35" t="s">
        <v>71</v>
      </c>
      <c r="M9" s="34">
        <v>300</v>
      </c>
    </row>
    <row r="10" spans="2:18" ht="15" customHeight="1" x14ac:dyDescent="0.25">
      <c r="G10" s="11" t="s">
        <v>73</v>
      </c>
      <c r="H10" s="5" t="s">
        <v>3</v>
      </c>
      <c r="I10" s="28">
        <v>25</v>
      </c>
      <c r="L10" s="35" t="s">
        <v>2</v>
      </c>
      <c r="M10" s="34">
        <v>850</v>
      </c>
    </row>
    <row r="11" spans="2:18" ht="15" customHeight="1" x14ac:dyDescent="0.25">
      <c r="G11" s="11" t="s">
        <v>74</v>
      </c>
      <c r="H11" s="5" t="s">
        <v>2</v>
      </c>
      <c r="I11" s="28">
        <v>200</v>
      </c>
      <c r="L11" s="32" t="s">
        <v>7</v>
      </c>
      <c r="M11" s="33">
        <v>1915</v>
      </c>
    </row>
    <row r="12" spans="2:18" ht="15" customHeight="1" x14ac:dyDescent="0.25">
      <c r="G12" s="11" t="s">
        <v>75</v>
      </c>
      <c r="H12" s="5" t="s">
        <v>1</v>
      </c>
      <c r="I12" s="28">
        <v>125</v>
      </c>
      <c r="L12"/>
      <c r="M12"/>
    </row>
    <row r="13" spans="2:18" ht="15" customHeight="1" x14ac:dyDescent="0.25">
      <c r="G13" s="11" t="s">
        <v>76</v>
      </c>
      <c r="H13" s="5" t="s">
        <v>5</v>
      </c>
      <c r="I13" s="28">
        <v>150</v>
      </c>
      <c r="L13"/>
      <c r="M13"/>
    </row>
    <row r="14" spans="2:18" ht="15" customHeight="1" x14ac:dyDescent="0.25">
      <c r="I14" s="3"/>
      <c r="L14"/>
      <c r="M14"/>
    </row>
    <row r="15" spans="2:18" ht="15" customHeight="1" x14ac:dyDescent="0.25">
      <c r="I15" s="3"/>
      <c r="L15"/>
      <c r="M15"/>
    </row>
    <row r="16" spans="2:18" ht="15" customHeight="1" x14ac:dyDescent="0.25">
      <c r="I16" s="3"/>
      <c r="L16" s="29"/>
    </row>
    <row r="17" spans="9:12" ht="15" customHeight="1" x14ac:dyDescent="0.25">
      <c r="I17" s="3"/>
      <c r="L17" s="29"/>
    </row>
    <row r="18" spans="9:12" ht="15" customHeight="1" x14ac:dyDescent="0.25">
      <c r="I18" s="3"/>
      <c r="L18" s="29"/>
    </row>
    <row r="19" spans="9:12" ht="15" customHeight="1" x14ac:dyDescent="0.25">
      <c r="I19" s="3"/>
      <c r="L19" s="29"/>
    </row>
    <row r="20" spans="9:12" ht="15" customHeight="1" x14ac:dyDescent="0.25">
      <c r="I20" s="3"/>
    </row>
    <row r="21" spans="9:12" ht="15" customHeight="1" x14ac:dyDescent="0.25">
      <c r="I21" s="3"/>
    </row>
    <row r="22" spans="9:12" ht="15" customHeight="1" x14ac:dyDescent="0.25">
      <c r="I22" s="3"/>
    </row>
    <row r="23" spans="9:12" ht="15" customHeight="1" x14ac:dyDescent="0.25">
      <c r="I23" s="3"/>
    </row>
    <row r="24" spans="9:12" ht="15" customHeight="1" x14ac:dyDescent="0.25">
      <c r="I24" s="3"/>
    </row>
    <row r="25" spans="9:12" ht="15" customHeight="1" x14ac:dyDescent="0.25">
      <c r="I25" s="3"/>
    </row>
    <row r="26" spans="9:12" ht="15" customHeight="1" x14ac:dyDescent="0.25">
      <c r="I26" s="3"/>
    </row>
    <row r="27" spans="9:12" ht="15" customHeight="1" x14ac:dyDescent="0.25">
      <c r="I27" s="3"/>
    </row>
    <row r="28" spans="9:12" ht="15" customHeight="1" x14ac:dyDescent="0.25">
      <c r="I28" s="3"/>
    </row>
    <row r="29" spans="9:12" ht="15" customHeight="1" x14ac:dyDescent="0.25">
      <c r="I29" s="3"/>
    </row>
    <row r="30" spans="9:12" ht="15" customHeight="1" x14ac:dyDescent="0.25">
      <c r="I30" s="3"/>
    </row>
    <row r="31" spans="9:12" ht="15" customHeight="1" x14ac:dyDescent="0.25">
      <c r="I31" s="3"/>
    </row>
    <row r="32" spans="9:12" ht="15" customHeight="1" x14ac:dyDescent="0.25">
      <c r="I32" s="3"/>
    </row>
    <row r="33" spans="9:9" ht="15" customHeight="1" x14ac:dyDescent="0.25">
      <c r="I33" s="3"/>
    </row>
    <row r="34" spans="9:9" ht="15" customHeight="1" x14ac:dyDescent="0.25">
      <c r="I34" s="3"/>
    </row>
    <row r="35" spans="9:9" ht="15" customHeight="1" x14ac:dyDescent="0.25">
      <c r="I35" s="3"/>
    </row>
    <row r="36" spans="9:9" ht="15" customHeight="1" x14ac:dyDescent="0.25">
      <c r="I36" s="3"/>
    </row>
    <row r="37" spans="9:9" ht="15" customHeight="1" x14ac:dyDescent="0.25">
      <c r="I37" s="3"/>
    </row>
    <row r="38" spans="9:9" ht="15" customHeight="1" x14ac:dyDescent="0.25">
      <c r="I38" s="3"/>
    </row>
    <row r="39" spans="9:9" ht="15" customHeight="1" x14ac:dyDescent="0.25">
      <c r="I39" s="3"/>
    </row>
    <row r="40" spans="9:9" ht="15" customHeight="1" x14ac:dyDescent="0.25">
      <c r="I40" s="3"/>
    </row>
    <row r="41" spans="9:9" ht="15" customHeight="1" x14ac:dyDescent="0.25">
      <c r="I41" s="3"/>
    </row>
    <row r="42" spans="9:9" ht="15" customHeight="1" x14ac:dyDescent="0.25">
      <c r="I42" s="3"/>
    </row>
    <row r="43" spans="9:9" ht="15" customHeight="1" x14ac:dyDescent="0.25">
      <c r="I43" s="3"/>
    </row>
    <row r="44" spans="9:9" ht="15" customHeight="1" x14ac:dyDescent="0.25">
      <c r="I44" s="3"/>
    </row>
    <row r="45" spans="9:9" ht="15" customHeight="1" x14ac:dyDescent="0.25">
      <c r="I45" s="3"/>
    </row>
  </sheetData>
  <mergeCells count="1">
    <mergeCell ref="L2:M2"/>
  </mergeCells>
  <pageMargins left="0.7" right="0.7" top="0.75" bottom="0.75" header="0.3" footer="0.3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9"/>
  <sheetViews>
    <sheetView workbookViewId="0">
      <selection activeCell="H22" sqref="H22"/>
    </sheetView>
  </sheetViews>
  <sheetFormatPr baseColWidth="10" defaultColWidth="9.140625" defaultRowHeight="15" customHeight="1" x14ac:dyDescent="0.25"/>
  <cols>
    <col min="1" max="1" width="9.140625" style="2"/>
    <col min="2" max="2" width="31.42578125" style="2" customWidth="1"/>
    <col min="3" max="3" width="19.42578125" style="2" customWidth="1"/>
    <col min="4" max="4" width="17.5703125" style="3" customWidth="1"/>
    <col min="5" max="6" width="9.140625" style="2"/>
    <col min="7" max="7" width="28.42578125" style="2" bestFit="1" customWidth="1"/>
    <col min="8" max="8" width="14" style="2" bestFit="1" customWidth="1"/>
    <col min="9" max="9" width="18.5703125" style="2" customWidth="1"/>
    <col min="10" max="10" width="15.85546875" style="2" bestFit="1" customWidth="1"/>
    <col min="11" max="11" width="11.28515625" style="2" customWidth="1"/>
    <col min="12" max="12" width="15.85546875" style="2" bestFit="1" customWidth="1"/>
    <col min="13" max="13" width="9.5703125" style="2" bestFit="1" customWidth="1"/>
    <col min="14" max="14" width="18.7109375" style="2" customWidth="1"/>
    <col min="15" max="15" width="13.7109375" style="2" customWidth="1"/>
    <col min="16" max="17" width="9.140625" style="2"/>
    <col min="18" max="18" width="15.85546875" style="2" bestFit="1" customWidth="1"/>
    <col min="19" max="19" width="11.28515625" style="2" bestFit="1" customWidth="1"/>
    <col min="20" max="16384" width="9.140625" style="2"/>
  </cols>
  <sheetData>
    <row r="2" spans="2:18" ht="15" customHeight="1" x14ac:dyDescent="0.25">
      <c r="B2" s="21" t="s">
        <v>34</v>
      </c>
      <c r="C2" s="21" t="s">
        <v>25</v>
      </c>
      <c r="D2" s="20">
        <f>SUM(ingresos_febrero[Monto])</f>
        <v>2077</v>
      </c>
      <c r="G2" s="21" t="s">
        <v>35</v>
      </c>
      <c r="H2" s="21" t="s">
        <v>25</v>
      </c>
      <c r="I2" s="20">
        <f>GETPIVOTDATA("Monto",$L$4)</f>
        <v>1943</v>
      </c>
      <c r="L2" s="48" t="s">
        <v>29</v>
      </c>
      <c r="M2" s="49"/>
      <c r="R2" s="4"/>
    </row>
    <row r="4" spans="2:18" ht="15" customHeight="1" x14ac:dyDescent="0.25">
      <c r="B4" s="2" t="s">
        <v>30</v>
      </c>
      <c r="C4" s="2" t="s">
        <v>31</v>
      </c>
      <c r="D4" s="3" t="s">
        <v>32</v>
      </c>
      <c r="G4" s="22" t="s">
        <v>30</v>
      </c>
      <c r="H4" s="23" t="s">
        <v>31</v>
      </c>
      <c r="I4" s="27" t="s">
        <v>32</v>
      </c>
      <c r="L4" s="24" t="s">
        <v>6</v>
      </c>
      <c r="M4" s="25" t="s">
        <v>25</v>
      </c>
    </row>
    <row r="5" spans="2:18" ht="15" customHeight="1" x14ac:dyDescent="0.25">
      <c r="B5" s="2" t="s">
        <v>67</v>
      </c>
      <c r="C5" s="2" t="s">
        <v>33</v>
      </c>
      <c r="D5" s="3">
        <v>1675</v>
      </c>
      <c r="G5" s="11" t="s">
        <v>26</v>
      </c>
      <c r="H5" s="5" t="s">
        <v>0</v>
      </c>
      <c r="I5" s="28">
        <v>250</v>
      </c>
      <c r="L5" s="6" t="s">
        <v>0</v>
      </c>
      <c r="M5" s="6">
        <v>250</v>
      </c>
    </row>
    <row r="6" spans="2:18" ht="15" customHeight="1" x14ac:dyDescent="0.25">
      <c r="B6" s="2" t="s">
        <v>57</v>
      </c>
      <c r="C6" s="2" t="s">
        <v>4</v>
      </c>
      <c r="D6" s="3">
        <v>367</v>
      </c>
      <c r="G6" s="11" t="s">
        <v>68</v>
      </c>
      <c r="H6" s="5" t="s">
        <v>2</v>
      </c>
      <c r="I6" s="28">
        <v>650</v>
      </c>
      <c r="L6" s="6" t="s">
        <v>5</v>
      </c>
      <c r="M6" s="6">
        <v>120</v>
      </c>
    </row>
    <row r="7" spans="2:18" ht="15" customHeight="1" x14ac:dyDescent="0.25">
      <c r="B7" s="2" t="s">
        <v>58</v>
      </c>
      <c r="C7" s="2" t="s">
        <v>4</v>
      </c>
      <c r="D7" s="3">
        <v>35</v>
      </c>
      <c r="G7" s="11" t="s">
        <v>69</v>
      </c>
      <c r="H7" s="5" t="s">
        <v>1</v>
      </c>
      <c r="I7" s="28">
        <v>68</v>
      </c>
      <c r="L7" s="6" t="s">
        <v>1</v>
      </c>
      <c r="M7" s="6">
        <v>208</v>
      </c>
    </row>
    <row r="8" spans="2:18" ht="15" customHeight="1" x14ac:dyDescent="0.25">
      <c r="G8" s="11" t="s">
        <v>70</v>
      </c>
      <c r="H8" s="5" t="s">
        <v>71</v>
      </c>
      <c r="I8" s="28">
        <v>350</v>
      </c>
      <c r="L8" s="6" t="s">
        <v>3</v>
      </c>
      <c r="M8" s="6">
        <v>145</v>
      </c>
    </row>
    <row r="9" spans="2:18" ht="15" customHeight="1" x14ac:dyDescent="0.25">
      <c r="G9" s="11" t="s">
        <v>72</v>
      </c>
      <c r="H9" s="5" t="s">
        <v>3</v>
      </c>
      <c r="I9" s="28">
        <v>120</v>
      </c>
      <c r="L9" s="6" t="s">
        <v>71</v>
      </c>
      <c r="M9" s="6">
        <v>350</v>
      </c>
    </row>
    <row r="10" spans="2:18" ht="15" customHeight="1" x14ac:dyDescent="0.25">
      <c r="G10" s="11" t="s">
        <v>73</v>
      </c>
      <c r="H10" s="5" t="s">
        <v>3</v>
      </c>
      <c r="I10" s="28">
        <v>25</v>
      </c>
      <c r="L10" s="6" t="s">
        <v>2</v>
      </c>
      <c r="M10" s="6">
        <v>870</v>
      </c>
    </row>
    <row r="11" spans="2:18" ht="15" customHeight="1" x14ac:dyDescent="0.25">
      <c r="G11" s="11" t="s">
        <v>74</v>
      </c>
      <c r="H11" s="5" t="s">
        <v>2</v>
      </c>
      <c r="I11" s="28">
        <v>220</v>
      </c>
      <c r="L11" s="24" t="s">
        <v>7</v>
      </c>
      <c r="M11" s="26">
        <v>1943</v>
      </c>
    </row>
    <row r="12" spans="2:18" ht="15" customHeight="1" x14ac:dyDescent="0.25">
      <c r="G12" s="11" t="s">
        <v>75</v>
      </c>
      <c r="H12" s="5" t="s">
        <v>1</v>
      </c>
      <c r="I12" s="28">
        <v>140</v>
      </c>
      <c r="L12"/>
      <c r="M12"/>
    </row>
    <row r="13" spans="2:18" ht="15" customHeight="1" x14ac:dyDescent="0.25">
      <c r="G13" s="11" t="s">
        <v>76</v>
      </c>
      <c r="H13" s="5" t="s">
        <v>5</v>
      </c>
      <c r="I13" s="28">
        <v>25</v>
      </c>
      <c r="L13"/>
      <c r="M13"/>
    </row>
    <row r="14" spans="2:18" ht="15" customHeight="1" x14ac:dyDescent="0.25">
      <c r="L14"/>
      <c r="M14"/>
    </row>
    <row r="15" spans="2:18" ht="15" customHeight="1" x14ac:dyDescent="0.25">
      <c r="L15"/>
      <c r="M15"/>
    </row>
    <row r="16" spans="2:18" ht="15" customHeight="1" x14ac:dyDescent="0.25">
      <c r="L16" s="19"/>
    </row>
    <row r="17" spans="12:12" ht="15" customHeight="1" x14ac:dyDescent="0.25">
      <c r="L17" s="19"/>
    </row>
    <row r="18" spans="12:12" ht="15" customHeight="1" x14ac:dyDescent="0.25">
      <c r="L18" s="19"/>
    </row>
    <row r="19" spans="12:12" ht="15" customHeight="1" x14ac:dyDescent="0.25">
      <c r="L19" s="19"/>
    </row>
  </sheetData>
  <mergeCells count="1">
    <mergeCell ref="L2:M2"/>
  </mergeCells>
  <pageMargins left="0.7" right="0.7" top="0.75" bottom="0.75" header="0.3" footer="0.3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4F99-D38F-479E-A5F2-4BC8E7DA6EEA}">
  <dimension ref="B2:R19"/>
  <sheetViews>
    <sheetView workbookViewId="0">
      <selection activeCell="M8" sqref="M8"/>
    </sheetView>
  </sheetViews>
  <sheetFormatPr baseColWidth="10" defaultColWidth="9.140625" defaultRowHeight="15" customHeight="1" x14ac:dyDescent="0.25"/>
  <cols>
    <col min="1" max="1" width="9.140625" style="2"/>
    <col min="2" max="2" width="31.42578125" style="2" customWidth="1"/>
    <col min="3" max="3" width="19.42578125" style="2" customWidth="1"/>
    <col min="4" max="4" width="17.5703125" style="3" customWidth="1"/>
    <col min="5" max="6" width="9.140625" style="2"/>
    <col min="7" max="7" width="28.42578125" style="2" bestFit="1" customWidth="1"/>
    <col min="8" max="8" width="14" style="2" bestFit="1" customWidth="1"/>
    <col min="9" max="9" width="18.5703125" style="2" customWidth="1"/>
    <col min="10" max="10" width="15.85546875" style="2" bestFit="1" customWidth="1"/>
    <col min="11" max="11" width="11.28515625" style="2" customWidth="1"/>
    <col min="12" max="12" width="15.85546875" style="2" bestFit="1" customWidth="1"/>
    <col min="13" max="13" width="9.5703125" style="2" bestFit="1" customWidth="1"/>
    <col min="14" max="14" width="18.7109375" style="2" customWidth="1"/>
    <col min="15" max="15" width="13.7109375" style="2" customWidth="1"/>
    <col min="16" max="17" width="9.140625" style="2"/>
    <col min="18" max="18" width="15.85546875" style="2" bestFit="1" customWidth="1"/>
    <col min="19" max="19" width="11.28515625" style="2" bestFit="1" customWidth="1"/>
    <col min="20" max="16384" width="9.140625" style="2"/>
  </cols>
  <sheetData>
    <row r="2" spans="2:18" ht="15" customHeight="1" x14ac:dyDescent="0.25">
      <c r="B2" s="21" t="s">
        <v>37</v>
      </c>
      <c r="C2" s="21" t="s">
        <v>25</v>
      </c>
      <c r="D2" s="20">
        <f>SUM(ingresos_marzo[Monto])</f>
        <v>2010</v>
      </c>
      <c r="G2" s="21" t="s">
        <v>38</v>
      </c>
      <c r="H2" s="21" t="s">
        <v>25</v>
      </c>
      <c r="I2" s="20">
        <f>GETPIVOTDATA("Monto",$L$4)</f>
        <v>1754</v>
      </c>
      <c r="L2" s="48" t="s">
        <v>29</v>
      </c>
      <c r="M2" s="49"/>
      <c r="R2" s="4"/>
    </row>
    <row r="4" spans="2:18" ht="15" customHeight="1" x14ac:dyDescent="0.25">
      <c r="B4" s="2" t="s">
        <v>30</v>
      </c>
      <c r="C4" s="2" t="s">
        <v>31</v>
      </c>
      <c r="D4" s="3" t="s">
        <v>32</v>
      </c>
      <c r="G4" s="22" t="s">
        <v>30</v>
      </c>
      <c r="H4" s="23" t="s">
        <v>31</v>
      </c>
      <c r="I4" s="27" t="s">
        <v>32</v>
      </c>
      <c r="L4" s="24" t="s">
        <v>6</v>
      </c>
      <c r="M4" s="25" t="s">
        <v>25</v>
      </c>
    </row>
    <row r="5" spans="2:18" ht="15" customHeight="1" x14ac:dyDescent="0.25">
      <c r="B5" s="2" t="s">
        <v>67</v>
      </c>
      <c r="C5" s="2" t="s">
        <v>33</v>
      </c>
      <c r="D5" s="3">
        <v>1675</v>
      </c>
      <c r="G5" s="11" t="s">
        <v>26</v>
      </c>
      <c r="H5" s="5" t="s">
        <v>0</v>
      </c>
      <c r="I5" s="28">
        <v>200</v>
      </c>
      <c r="L5" s="6" t="s">
        <v>0</v>
      </c>
      <c r="M5" s="6">
        <v>200</v>
      </c>
    </row>
    <row r="6" spans="2:18" ht="15" customHeight="1" x14ac:dyDescent="0.25">
      <c r="B6" s="2" t="s">
        <v>57</v>
      </c>
      <c r="C6" s="2" t="s">
        <v>4</v>
      </c>
      <c r="D6" s="3">
        <v>300</v>
      </c>
      <c r="G6" s="11" t="s">
        <v>68</v>
      </c>
      <c r="H6" s="5" t="s">
        <v>2</v>
      </c>
      <c r="I6" s="28">
        <v>650</v>
      </c>
      <c r="L6" s="6" t="s">
        <v>1</v>
      </c>
      <c r="M6" s="6">
        <v>230</v>
      </c>
    </row>
    <row r="7" spans="2:18" ht="15" customHeight="1" x14ac:dyDescent="0.25">
      <c r="B7" s="2" t="s">
        <v>58</v>
      </c>
      <c r="C7" s="2" t="s">
        <v>4</v>
      </c>
      <c r="D7" s="3">
        <v>35</v>
      </c>
      <c r="G7" s="11" t="s">
        <v>69</v>
      </c>
      <c r="H7" s="5" t="s">
        <v>1</v>
      </c>
      <c r="I7" s="28">
        <v>80</v>
      </c>
      <c r="L7" s="6" t="s">
        <v>3</v>
      </c>
      <c r="M7" s="6">
        <v>145</v>
      </c>
    </row>
    <row r="8" spans="2:18" ht="15" customHeight="1" x14ac:dyDescent="0.25">
      <c r="G8" s="11" t="s">
        <v>70</v>
      </c>
      <c r="H8" s="5" t="s">
        <v>71</v>
      </c>
      <c r="I8" s="28">
        <v>340</v>
      </c>
      <c r="L8" s="6" t="s">
        <v>71</v>
      </c>
      <c r="M8" s="6">
        <v>340</v>
      </c>
    </row>
    <row r="9" spans="2:18" ht="15" customHeight="1" x14ac:dyDescent="0.25">
      <c r="G9" s="11" t="s">
        <v>72</v>
      </c>
      <c r="H9" s="5" t="s">
        <v>3</v>
      </c>
      <c r="I9" s="28">
        <v>120</v>
      </c>
      <c r="L9" s="6" t="s">
        <v>2</v>
      </c>
      <c r="M9" s="6">
        <v>839</v>
      </c>
    </row>
    <row r="10" spans="2:18" ht="15" customHeight="1" x14ac:dyDescent="0.25">
      <c r="G10" s="11" t="s">
        <v>73</v>
      </c>
      <c r="H10" s="5" t="s">
        <v>3</v>
      </c>
      <c r="I10" s="28">
        <v>25</v>
      </c>
      <c r="L10" s="24" t="s">
        <v>7</v>
      </c>
      <c r="M10" s="26">
        <v>1754</v>
      </c>
    </row>
    <row r="11" spans="2:18" ht="15" customHeight="1" x14ac:dyDescent="0.25">
      <c r="G11" s="11" t="s">
        <v>74</v>
      </c>
      <c r="H11" s="5" t="s">
        <v>2</v>
      </c>
      <c r="I11" s="28">
        <v>189</v>
      </c>
      <c r="L11"/>
      <c r="M11"/>
    </row>
    <row r="12" spans="2:18" ht="15" customHeight="1" x14ac:dyDescent="0.25">
      <c r="G12" s="11" t="s">
        <v>75</v>
      </c>
      <c r="H12" s="5" t="s">
        <v>1</v>
      </c>
      <c r="I12" s="28">
        <v>150</v>
      </c>
      <c r="L12"/>
      <c r="M12"/>
    </row>
    <row r="13" spans="2:18" ht="15" customHeight="1" x14ac:dyDescent="0.25">
      <c r="L13"/>
      <c r="M13"/>
    </row>
    <row r="14" spans="2:18" ht="15" customHeight="1" x14ac:dyDescent="0.25">
      <c r="L14"/>
      <c r="M14"/>
    </row>
    <row r="15" spans="2:18" ht="15" customHeight="1" x14ac:dyDescent="0.25">
      <c r="L15"/>
      <c r="M15"/>
    </row>
    <row r="16" spans="2:18" ht="15" customHeight="1" x14ac:dyDescent="0.25">
      <c r="L16" s="19"/>
    </row>
    <row r="17" spans="12:12" ht="15" customHeight="1" x14ac:dyDescent="0.25">
      <c r="L17" s="19"/>
    </row>
    <row r="18" spans="12:12" ht="15" customHeight="1" x14ac:dyDescent="0.25">
      <c r="L18" s="19"/>
    </row>
    <row r="19" spans="12:12" ht="15" customHeight="1" x14ac:dyDescent="0.25">
      <c r="L19" s="19"/>
    </row>
  </sheetData>
  <mergeCells count="1">
    <mergeCell ref="L2:M2"/>
  </mergeCells>
  <pageMargins left="0.7" right="0.7" top="0.75" bottom="0.75" header="0.3" footer="0.3"/>
  <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57AB-6A8D-4EE3-B9D7-DE1FD1D49A5A}">
  <dimension ref="B2:R19"/>
  <sheetViews>
    <sheetView workbookViewId="0">
      <selection activeCell="K19" sqref="K19"/>
    </sheetView>
  </sheetViews>
  <sheetFormatPr baseColWidth="10" defaultColWidth="9.140625" defaultRowHeight="15" customHeight="1" x14ac:dyDescent="0.25"/>
  <cols>
    <col min="1" max="1" width="9.140625" style="2"/>
    <col min="2" max="2" width="31.42578125" style="2" customWidth="1"/>
    <col min="3" max="3" width="19.42578125" style="2" customWidth="1"/>
    <col min="4" max="4" width="17.5703125" style="3" customWidth="1"/>
    <col min="5" max="6" width="9.140625" style="2"/>
    <col min="7" max="7" width="28.42578125" style="2" bestFit="1" customWidth="1"/>
    <col min="8" max="8" width="14" style="2" bestFit="1" customWidth="1"/>
    <col min="9" max="9" width="18.5703125" style="2" customWidth="1"/>
    <col min="10" max="10" width="15.85546875" style="2" bestFit="1" customWidth="1"/>
    <col min="11" max="11" width="11.28515625" style="2" customWidth="1"/>
    <col min="12" max="12" width="15.85546875" style="2" bestFit="1" customWidth="1"/>
    <col min="13" max="13" width="9.5703125" style="2" bestFit="1" customWidth="1"/>
    <col min="14" max="14" width="18.7109375" style="2" customWidth="1"/>
    <col min="15" max="15" width="13.7109375" style="2" customWidth="1"/>
    <col min="16" max="17" width="9.140625" style="2"/>
    <col min="18" max="18" width="15.85546875" style="2" bestFit="1" customWidth="1"/>
    <col min="19" max="19" width="11.28515625" style="2" bestFit="1" customWidth="1"/>
    <col min="20" max="16384" width="9.140625" style="2"/>
  </cols>
  <sheetData>
    <row r="2" spans="2:18" ht="15" customHeight="1" x14ac:dyDescent="0.25">
      <c r="B2" s="21" t="s">
        <v>39</v>
      </c>
      <c r="C2" s="21" t="s">
        <v>25</v>
      </c>
      <c r="D2" s="20">
        <f>SUM(ingresos_abril[Monto])</f>
        <v>2275</v>
      </c>
      <c r="G2" s="21" t="s">
        <v>40</v>
      </c>
      <c r="H2" s="21" t="s">
        <v>25</v>
      </c>
      <c r="I2" s="20">
        <f>GETPIVOTDATA("Monto",$L$4)</f>
        <v>2505</v>
      </c>
      <c r="L2" s="48" t="s">
        <v>29</v>
      </c>
      <c r="M2" s="49"/>
      <c r="R2" s="4"/>
    </row>
    <row r="4" spans="2:18" ht="15" customHeight="1" x14ac:dyDescent="0.25">
      <c r="B4" s="2" t="s">
        <v>30</v>
      </c>
      <c r="C4" s="2" t="s">
        <v>31</v>
      </c>
      <c r="D4" s="3" t="s">
        <v>32</v>
      </c>
      <c r="G4" s="22" t="s">
        <v>30</v>
      </c>
      <c r="H4" s="23" t="s">
        <v>31</v>
      </c>
      <c r="I4" s="27" t="s">
        <v>32</v>
      </c>
      <c r="L4" s="24" t="s">
        <v>6</v>
      </c>
      <c r="M4" s="25" t="s">
        <v>25</v>
      </c>
    </row>
    <row r="5" spans="2:18" ht="15" customHeight="1" x14ac:dyDescent="0.25">
      <c r="B5" s="2" t="s">
        <v>67</v>
      </c>
      <c r="C5" s="2" t="s">
        <v>33</v>
      </c>
      <c r="D5" s="3">
        <v>1675</v>
      </c>
      <c r="G5" s="11" t="s">
        <v>26</v>
      </c>
      <c r="H5" s="5" t="s">
        <v>0</v>
      </c>
      <c r="I5" s="28">
        <v>320</v>
      </c>
      <c r="L5" s="6" t="s">
        <v>0</v>
      </c>
      <c r="M5" s="6">
        <v>900</v>
      </c>
    </row>
    <row r="6" spans="2:18" ht="15" customHeight="1" x14ac:dyDescent="0.25">
      <c r="B6" s="2" t="s">
        <v>57</v>
      </c>
      <c r="C6" s="2" t="s">
        <v>4</v>
      </c>
      <c r="D6" s="3">
        <v>550</v>
      </c>
      <c r="G6" s="11" t="s">
        <v>68</v>
      </c>
      <c r="H6" s="5" t="s">
        <v>2</v>
      </c>
      <c r="I6" s="28">
        <v>650</v>
      </c>
      <c r="L6" s="6" t="s">
        <v>5</v>
      </c>
      <c r="M6" s="6">
        <v>150</v>
      </c>
    </row>
    <row r="7" spans="2:18" ht="15" customHeight="1" x14ac:dyDescent="0.25">
      <c r="B7" s="2" t="s">
        <v>58</v>
      </c>
      <c r="C7" s="2" t="s">
        <v>4</v>
      </c>
      <c r="D7" s="3">
        <v>50</v>
      </c>
      <c r="G7" s="11" t="s">
        <v>69</v>
      </c>
      <c r="H7" s="5" t="s">
        <v>1</v>
      </c>
      <c r="I7" s="28">
        <v>80</v>
      </c>
      <c r="L7" s="6" t="s">
        <v>1</v>
      </c>
      <c r="M7" s="6">
        <v>180</v>
      </c>
    </row>
    <row r="8" spans="2:18" ht="15" customHeight="1" x14ac:dyDescent="0.25">
      <c r="G8" s="11" t="s">
        <v>70</v>
      </c>
      <c r="H8" s="5" t="s">
        <v>71</v>
      </c>
      <c r="I8" s="28">
        <v>280</v>
      </c>
      <c r="L8" s="6" t="s">
        <v>3</v>
      </c>
      <c r="M8" s="6">
        <v>145</v>
      </c>
    </row>
    <row r="9" spans="2:18" ht="15" customHeight="1" x14ac:dyDescent="0.25">
      <c r="G9" s="11" t="s">
        <v>72</v>
      </c>
      <c r="H9" s="5" t="s">
        <v>3</v>
      </c>
      <c r="I9" s="28">
        <v>120</v>
      </c>
      <c r="L9" s="6" t="s">
        <v>71</v>
      </c>
      <c r="M9" s="6">
        <v>280</v>
      </c>
    </row>
    <row r="10" spans="2:18" ht="15" customHeight="1" x14ac:dyDescent="0.25">
      <c r="G10" s="11" t="s">
        <v>73</v>
      </c>
      <c r="H10" s="5" t="s">
        <v>3</v>
      </c>
      <c r="I10" s="28">
        <v>25</v>
      </c>
      <c r="L10" s="6" t="s">
        <v>2</v>
      </c>
      <c r="M10" s="6">
        <v>850</v>
      </c>
    </row>
    <row r="11" spans="2:18" ht="15" customHeight="1" x14ac:dyDescent="0.25">
      <c r="G11" s="11" t="s">
        <v>74</v>
      </c>
      <c r="H11" s="5" t="s">
        <v>2</v>
      </c>
      <c r="I11" s="28">
        <v>200</v>
      </c>
      <c r="L11" s="24" t="s">
        <v>7</v>
      </c>
      <c r="M11" s="26">
        <v>2505</v>
      </c>
    </row>
    <row r="12" spans="2:18" ht="15" customHeight="1" x14ac:dyDescent="0.25">
      <c r="G12" s="11" t="s">
        <v>75</v>
      </c>
      <c r="H12" s="5" t="s">
        <v>1</v>
      </c>
      <c r="I12" s="28">
        <v>100</v>
      </c>
      <c r="L12"/>
      <c r="M12"/>
    </row>
    <row r="13" spans="2:18" ht="15" customHeight="1" x14ac:dyDescent="0.25">
      <c r="G13" s="11" t="s">
        <v>76</v>
      </c>
      <c r="H13" s="5" t="s">
        <v>5</v>
      </c>
      <c r="I13" s="28">
        <v>150</v>
      </c>
      <c r="L13"/>
      <c r="M13"/>
    </row>
    <row r="14" spans="2:18" ht="15" customHeight="1" x14ac:dyDescent="0.25">
      <c r="G14" s="11" t="s">
        <v>77</v>
      </c>
      <c r="H14" s="5" t="s">
        <v>0</v>
      </c>
      <c r="I14" s="28">
        <v>580</v>
      </c>
      <c r="L14"/>
      <c r="M14"/>
    </row>
    <row r="15" spans="2:18" ht="15" customHeight="1" x14ac:dyDescent="0.25">
      <c r="L15"/>
      <c r="M15"/>
    </row>
    <row r="16" spans="2:18" ht="15" customHeight="1" x14ac:dyDescent="0.25">
      <c r="L16" s="19"/>
    </row>
    <row r="17" spans="12:12" ht="15" customHeight="1" x14ac:dyDescent="0.25">
      <c r="L17" s="19"/>
    </row>
    <row r="18" spans="12:12" ht="15" customHeight="1" x14ac:dyDescent="0.25">
      <c r="L18" s="19"/>
    </row>
    <row r="19" spans="12:12" ht="15" customHeight="1" x14ac:dyDescent="0.25">
      <c r="L19" s="19"/>
    </row>
  </sheetData>
  <mergeCells count="1">
    <mergeCell ref="L2:M2"/>
  </mergeCells>
  <pageMargins left="0.7" right="0.7" top="0.75" bottom="0.75" header="0.3" footer="0.3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4954-A464-4182-BD03-ADD8D63DCC9F}">
  <dimension ref="B2:R19"/>
  <sheetViews>
    <sheetView workbookViewId="0">
      <selection activeCell="I24" sqref="I24"/>
    </sheetView>
  </sheetViews>
  <sheetFormatPr baseColWidth="10" defaultColWidth="9.140625" defaultRowHeight="15" customHeight="1" x14ac:dyDescent="0.25"/>
  <cols>
    <col min="1" max="1" width="9.140625" style="2"/>
    <col min="2" max="2" width="31.42578125" style="2" customWidth="1"/>
    <col min="3" max="3" width="19.42578125" style="2" customWidth="1"/>
    <col min="4" max="4" width="17.5703125" style="3" customWidth="1"/>
    <col min="5" max="6" width="9.140625" style="2"/>
    <col min="7" max="7" width="28.42578125" style="2" bestFit="1" customWidth="1"/>
    <col min="8" max="8" width="14" style="2" bestFit="1" customWidth="1"/>
    <col min="9" max="9" width="18.5703125" style="2" customWidth="1"/>
    <col min="10" max="10" width="15.85546875" style="2" bestFit="1" customWidth="1"/>
    <col min="11" max="11" width="11.28515625" style="2" customWidth="1"/>
    <col min="12" max="12" width="15.85546875" style="2" bestFit="1" customWidth="1"/>
    <col min="13" max="13" width="9.5703125" style="2" bestFit="1" customWidth="1"/>
    <col min="14" max="14" width="18.7109375" style="2" customWidth="1"/>
    <col min="15" max="15" width="13.7109375" style="2" customWidth="1"/>
    <col min="16" max="17" width="9.140625" style="2"/>
    <col min="18" max="18" width="15.85546875" style="2" bestFit="1" customWidth="1"/>
    <col min="19" max="19" width="11.28515625" style="2" bestFit="1" customWidth="1"/>
    <col min="20" max="16384" width="9.140625" style="2"/>
  </cols>
  <sheetData>
    <row r="2" spans="2:18" ht="15" customHeight="1" x14ac:dyDescent="0.25">
      <c r="B2" s="21" t="s">
        <v>41</v>
      </c>
      <c r="C2" s="21" t="s">
        <v>25</v>
      </c>
      <c r="D2" s="20">
        <f>SUM(ingresos_mayo[Monto])</f>
        <v>1850</v>
      </c>
      <c r="G2" s="21" t="s">
        <v>42</v>
      </c>
      <c r="H2" s="21" t="s">
        <v>25</v>
      </c>
      <c r="I2" s="20">
        <f>GETPIVOTDATA("Monto",$L$4)</f>
        <v>1740</v>
      </c>
      <c r="L2" s="48" t="s">
        <v>29</v>
      </c>
      <c r="M2" s="49"/>
      <c r="R2" s="4"/>
    </row>
    <row r="4" spans="2:18" ht="15" customHeight="1" x14ac:dyDescent="0.25">
      <c r="B4" s="2" t="s">
        <v>30</v>
      </c>
      <c r="C4" s="2" t="s">
        <v>31</v>
      </c>
      <c r="D4" s="3" t="s">
        <v>32</v>
      </c>
      <c r="G4" s="22" t="s">
        <v>30</v>
      </c>
      <c r="H4" s="23" t="s">
        <v>31</v>
      </c>
      <c r="I4" s="27" t="s">
        <v>32</v>
      </c>
      <c r="L4" s="24" t="s">
        <v>6</v>
      </c>
      <c r="M4" s="25" t="s">
        <v>25</v>
      </c>
    </row>
    <row r="5" spans="2:18" ht="15" customHeight="1" x14ac:dyDescent="0.25">
      <c r="B5" s="2" t="s">
        <v>67</v>
      </c>
      <c r="C5" s="2" t="s">
        <v>33</v>
      </c>
      <c r="D5" s="3">
        <v>1675</v>
      </c>
      <c r="G5" s="11" t="s">
        <v>26</v>
      </c>
      <c r="H5" s="5" t="s">
        <v>0</v>
      </c>
      <c r="I5" s="28">
        <v>320</v>
      </c>
      <c r="L5" s="6" t="s">
        <v>0</v>
      </c>
      <c r="M5" s="6">
        <v>320</v>
      </c>
    </row>
    <row r="6" spans="2:18" ht="15" customHeight="1" x14ac:dyDescent="0.25">
      <c r="B6" s="2" t="s">
        <v>57</v>
      </c>
      <c r="C6" s="2" t="s">
        <v>4</v>
      </c>
      <c r="D6" s="3">
        <v>150</v>
      </c>
      <c r="G6" s="11" t="s">
        <v>68</v>
      </c>
      <c r="H6" s="5" t="s">
        <v>2</v>
      </c>
      <c r="I6" s="28">
        <v>650</v>
      </c>
      <c r="L6" s="6" t="s">
        <v>1</v>
      </c>
      <c r="M6" s="6">
        <v>125</v>
      </c>
    </row>
    <row r="7" spans="2:18" ht="15" customHeight="1" x14ac:dyDescent="0.25">
      <c r="B7" s="2" t="s">
        <v>58</v>
      </c>
      <c r="C7" s="2" t="s">
        <v>4</v>
      </c>
      <c r="D7" s="3">
        <v>25</v>
      </c>
      <c r="G7" s="11" t="s">
        <v>69</v>
      </c>
      <c r="H7" s="5" t="s">
        <v>1</v>
      </c>
      <c r="I7" s="28">
        <v>45</v>
      </c>
      <c r="L7" s="6" t="s">
        <v>3</v>
      </c>
      <c r="M7" s="6">
        <v>145</v>
      </c>
    </row>
    <row r="8" spans="2:18" ht="15" customHeight="1" x14ac:dyDescent="0.25">
      <c r="G8" s="11" t="s">
        <v>70</v>
      </c>
      <c r="H8" s="5" t="s">
        <v>71</v>
      </c>
      <c r="I8" s="28">
        <v>300</v>
      </c>
      <c r="L8" s="6" t="s">
        <v>71</v>
      </c>
      <c r="M8" s="6">
        <v>300</v>
      </c>
    </row>
    <row r="9" spans="2:18" ht="15" customHeight="1" x14ac:dyDescent="0.25">
      <c r="G9" s="11" t="s">
        <v>72</v>
      </c>
      <c r="H9" s="5" t="s">
        <v>3</v>
      </c>
      <c r="I9" s="28">
        <v>120</v>
      </c>
      <c r="L9" s="6" t="s">
        <v>2</v>
      </c>
      <c r="M9" s="6">
        <v>850</v>
      </c>
    </row>
    <row r="10" spans="2:18" ht="15" customHeight="1" x14ac:dyDescent="0.25">
      <c r="G10" s="11" t="s">
        <v>73</v>
      </c>
      <c r="H10" s="5" t="s">
        <v>3</v>
      </c>
      <c r="I10" s="28">
        <v>25</v>
      </c>
      <c r="L10" s="24" t="s">
        <v>7</v>
      </c>
      <c r="M10" s="26">
        <v>1740</v>
      </c>
    </row>
    <row r="11" spans="2:18" ht="15" customHeight="1" x14ac:dyDescent="0.25">
      <c r="G11" s="11" t="s">
        <v>74</v>
      </c>
      <c r="H11" s="5" t="s">
        <v>2</v>
      </c>
      <c r="I11" s="28">
        <v>200</v>
      </c>
      <c r="L11"/>
      <c r="M11"/>
    </row>
    <row r="12" spans="2:18" ht="15" customHeight="1" x14ac:dyDescent="0.25">
      <c r="G12" s="11" t="s">
        <v>75</v>
      </c>
      <c r="H12" s="5" t="s">
        <v>1</v>
      </c>
      <c r="I12" s="28">
        <v>80</v>
      </c>
      <c r="L12"/>
      <c r="M12"/>
    </row>
    <row r="13" spans="2:18" ht="15" customHeight="1" x14ac:dyDescent="0.25">
      <c r="L13"/>
      <c r="M13"/>
    </row>
    <row r="14" spans="2:18" ht="15" customHeight="1" x14ac:dyDescent="0.25">
      <c r="L14"/>
      <c r="M14"/>
    </row>
    <row r="15" spans="2:18" ht="15" customHeight="1" x14ac:dyDescent="0.25">
      <c r="L15"/>
      <c r="M15"/>
    </row>
    <row r="16" spans="2:18" ht="15" customHeight="1" x14ac:dyDescent="0.25">
      <c r="L16" s="19"/>
    </row>
    <row r="17" spans="12:12" ht="15" customHeight="1" x14ac:dyDescent="0.25">
      <c r="L17" s="19"/>
    </row>
    <row r="18" spans="12:12" ht="15" customHeight="1" x14ac:dyDescent="0.25">
      <c r="L18" s="19"/>
    </row>
    <row r="19" spans="12:12" ht="15" customHeight="1" x14ac:dyDescent="0.25">
      <c r="L19" s="19"/>
    </row>
  </sheetData>
  <mergeCells count="1">
    <mergeCell ref="L2:M2"/>
  </mergeCells>
  <pageMargins left="0.7" right="0.7" top="0.75" bottom="0.75" header="0.3" footer="0.3"/>
  <pageSetup paperSize="9" orientation="portrait" verticalDpi="300" r:id="rId2"/>
  <drawing r:id="rId3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A9E53-7463-4F2B-B0E3-CCA8362F16EB}">
  <dimension ref="B2:R19"/>
  <sheetViews>
    <sheetView workbookViewId="0">
      <selection activeCell="L17" sqref="L17"/>
    </sheetView>
  </sheetViews>
  <sheetFormatPr baseColWidth="10" defaultColWidth="9.140625" defaultRowHeight="15" customHeight="1" x14ac:dyDescent="0.25"/>
  <cols>
    <col min="1" max="1" width="9.140625" style="2"/>
    <col min="2" max="2" width="31.42578125" style="2" customWidth="1"/>
    <col min="3" max="3" width="19.42578125" style="2" customWidth="1"/>
    <col min="4" max="4" width="17.5703125" style="3" customWidth="1"/>
    <col min="5" max="6" width="9.140625" style="2"/>
    <col min="7" max="7" width="28.42578125" style="2" bestFit="1" customWidth="1"/>
    <col min="8" max="8" width="14" style="2" bestFit="1" customWidth="1"/>
    <col min="9" max="9" width="18.5703125" style="2" customWidth="1"/>
    <col min="10" max="10" width="15.85546875" style="2" bestFit="1" customWidth="1"/>
    <col min="11" max="11" width="11.28515625" style="2" customWidth="1"/>
    <col min="12" max="12" width="15.85546875" style="2" bestFit="1" customWidth="1"/>
    <col min="13" max="13" width="9.5703125" style="2" bestFit="1" customWidth="1"/>
    <col min="14" max="14" width="18.7109375" style="2" customWidth="1"/>
    <col min="15" max="15" width="13.7109375" style="2" customWidth="1"/>
    <col min="16" max="17" width="9.140625" style="2"/>
    <col min="18" max="18" width="15.85546875" style="2" bestFit="1" customWidth="1"/>
    <col min="19" max="19" width="11.28515625" style="2" bestFit="1" customWidth="1"/>
    <col min="20" max="16384" width="9.140625" style="2"/>
  </cols>
  <sheetData>
    <row r="2" spans="2:18" ht="15" customHeight="1" x14ac:dyDescent="0.25">
      <c r="B2" s="21" t="s">
        <v>43</v>
      </c>
      <c r="C2" s="21" t="s">
        <v>25</v>
      </c>
      <c r="D2" s="20">
        <f>SUM(ingresos_junio[Monto])</f>
        <v>2147</v>
      </c>
      <c r="G2" s="21" t="s">
        <v>44</v>
      </c>
      <c r="H2" s="21" t="s">
        <v>25</v>
      </c>
      <c r="I2" s="20">
        <f>GETPIVOTDATA("Monto",$L$4)</f>
        <v>1915</v>
      </c>
      <c r="L2" s="48" t="s">
        <v>29</v>
      </c>
      <c r="M2" s="49"/>
      <c r="R2" s="4"/>
    </row>
    <row r="4" spans="2:18" ht="15" customHeight="1" x14ac:dyDescent="0.25">
      <c r="B4" s="2" t="s">
        <v>30</v>
      </c>
      <c r="C4" s="2" t="s">
        <v>31</v>
      </c>
      <c r="D4" s="3" t="s">
        <v>32</v>
      </c>
      <c r="G4" s="22" t="s">
        <v>30</v>
      </c>
      <c r="H4" s="23" t="s">
        <v>31</v>
      </c>
      <c r="I4" s="27" t="s">
        <v>32</v>
      </c>
      <c r="L4" s="24" t="s">
        <v>6</v>
      </c>
      <c r="M4" s="25" t="s">
        <v>25</v>
      </c>
    </row>
    <row r="5" spans="2:18" ht="15" customHeight="1" x14ac:dyDescent="0.25">
      <c r="B5" s="2" t="s">
        <v>67</v>
      </c>
      <c r="C5" s="2" t="s">
        <v>33</v>
      </c>
      <c r="D5" s="3">
        <v>1675</v>
      </c>
      <c r="G5" s="11" t="s">
        <v>26</v>
      </c>
      <c r="H5" s="5" t="s">
        <v>0</v>
      </c>
      <c r="I5" s="28">
        <v>350</v>
      </c>
      <c r="L5" s="6" t="s">
        <v>0</v>
      </c>
      <c r="M5" s="6">
        <v>350</v>
      </c>
    </row>
    <row r="6" spans="2:18" ht="15" customHeight="1" x14ac:dyDescent="0.25">
      <c r="B6" s="2" t="s">
        <v>57</v>
      </c>
      <c r="C6" s="2" t="s">
        <v>4</v>
      </c>
      <c r="D6" s="3">
        <v>440</v>
      </c>
      <c r="G6" s="11" t="s">
        <v>68</v>
      </c>
      <c r="H6" s="5" t="s">
        <v>2</v>
      </c>
      <c r="I6" s="28">
        <v>650</v>
      </c>
      <c r="L6" s="6" t="s">
        <v>5</v>
      </c>
      <c r="M6" s="6">
        <v>50</v>
      </c>
    </row>
    <row r="7" spans="2:18" ht="15" customHeight="1" x14ac:dyDescent="0.25">
      <c r="B7" s="2" t="s">
        <v>58</v>
      </c>
      <c r="C7" s="2" t="s">
        <v>4</v>
      </c>
      <c r="D7" s="3">
        <v>32</v>
      </c>
      <c r="G7" s="11" t="s">
        <v>69</v>
      </c>
      <c r="H7" s="5" t="s">
        <v>1</v>
      </c>
      <c r="I7" s="28">
        <v>60</v>
      </c>
      <c r="L7" s="6" t="s">
        <v>1</v>
      </c>
      <c r="M7" s="6">
        <v>200</v>
      </c>
    </row>
    <row r="8" spans="2:18" ht="15" customHeight="1" x14ac:dyDescent="0.25">
      <c r="G8" s="11" t="s">
        <v>70</v>
      </c>
      <c r="H8" s="5" t="s">
        <v>71</v>
      </c>
      <c r="I8" s="28">
        <v>340</v>
      </c>
      <c r="L8" s="6" t="s">
        <v>3</v>
      </c>
      <c r="M8" s="6">
        <v>145</v>
      </c>
    </row>
    <row r="9" spans="2:18" ht="15" customHeight="1" x14ac:dyDescent="0.25">
      <c r="G9" s="11" t="s">
        <v>72</v>
      </c>
      <c r="H9" s="5" t="s">
        <v>3</v>
      </c>
      <c r="I9" s="28">
        <v>120</v>
      </c>
      <c r="L9" s="6" t="s">
        <v>71</v>
      </c>
      <c r="M9" s="6">
        <v>340</v>
      </c>
    </row>
    <row r="10" spans="2:18" ht="15" customHeight="1" x14ac:dyDescent="0.25">
      <c r="G10" s="11" t="s">
        <v>73</v>
      </c>
      <c r="H10" s="5" t="s">
        <v>3</v>
      </c>
      <c r="I10" s="28">
        <v>25</v>
      </c>
      <c r="L10" s="6" t="s">
        <v>2</v>
      </c>
      <c r="M10" s="6">
        <v>830</v>
      </c>
    </row>
    <row r="11" spans="2:18" ht="15" customHeight="1" x14ac:dyDescent="0.25">
      <c r="G11" s="11" t="s">
        <v>74</v>
      </c>
      <c r="H11" s="5" t="s">
        <v>2</v>
      </c>
      <c r="I11" s="28">
        <v>180</v>
      </c>
      <c r="L11" s="24" t="s">
        <v>7</v>
      </c>
      <c r="M11" s="26">
        <v>1915</v>
      </c>
    </row>
    <row r="12" spans="2:18" ht="15" customHeight="1" x14ac:dyDescent="0.25">
      <c r="G12" s="11" t="s">
        <v>75</v>
      </c>
      <c r="H12" s="5" t="s">
        <v>1</v>
      </c>
      <c r="I12" s="28">
        <v>140</v>
      </c>
      <c r="L12"/>
      <c r="M12"/>
    </row>
    <row r="13" spans="2:18" ht="15" customHeight="1" x14ac:dyDescent="0.25">
      <c r="G13" s="11" t="s">
        <v>76</v>
      </c>
      <c r="H13" s="5" t="s">
        <v>5</v>
      </c>
      <c r="I13" s="28">
        <v>50</v>
      </c>
      <c r="L13"/>
      <c r="M13"/>
    </row>
    <row r="14" spans="2:18" ht="15" customHeight="1" x14ac:dyDescent="0.25">
      <c r="L14"/>
      <c r="M14"/>
    </row>
    <row r="15" spans="2:18" ht="15" customHeight="1" x14ac:dyDescent="0.25">
      <c r="L15"/>
      <c r="M15"/>
    </row>
    <row r="16" spans="2:18" ht="15" customHeight="1" x14ac:dyDescent="0.25">
      <c r="L16" s="19"/>
    </row>
    <row r="17" spans="12:12" ht="15" customHeight="1" x14ac:dyDescent="0.25">
      <c r="L17" s="19"/>
    </row>
    <row r="18" spans="12:12" ht="15" customHeight="1" x14ac:dyDescent="0.25">
      <c r="L18" s="19"/>
    </row>
    <row r="19" spans="12:12" ht="15" customHeight="1" x14ac:dyDescent="0.25">
      <c r="L19" s="19"/>
    </row>
  </sheetData>
  <mergeCells count="1">
    <mergeCell ref="L2:M2"/>
  </mergeCells>
  <pageMargins left="0.7" right="0.7" top="0.75" bottom="0.75" header="0.3" footer="0.3"/>
  <drawing r:id="rId2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5C57-EFB8-4B0E-A42D-075A9BE24289}">
  <dimension ref="B2:R19"/>
  <sheetViews>
    <sheetView workbookViewId="0">
      <selection activeCell="M20" sqref="M20"/>
    </sheetView>
  </sheetViews>
  <sheetFormatPr baseColWidth="10" defaultColWidth="9.140625" defaultRowHeight="15" customHeight="1" x14ac:dyDescent="0.25"/>
  <cols>
    <col min="1" max="1" width="9.140625" style="2"/>
    <col min="2" max="2" width="31.42578125" style="2" customWidth="1"/>
    <col min="3" max="3" width="19.42578125" style="2" customWidth="1"/>
    <col min="4" max="4" width="17.5703125" style="3" customWidth="1"/>
    <col min="5" max="6" width="9.140625" style="2"/>
    <col min="7" max="7" width="28.42578125" style="2" bestFit="1" customWidth="1"/>
    <col min="8" max="8" width="14" style="2" bestFit="1" customWidth="1"/>
    <col min="9" max="9" width="18.5703125" style="2" customWidth="1"/>
    <col min="10" max="10" width="15.85546875" style="2" bestFit="1" customWidth="1"/>
    <col min="11" max="11" width="11.28515625" style="2" customWidth="1"/>
    <col min="12" max="12" width="15.85546875" style="2" bestFit="1" customWidth="1"/>
    <col min="13" max="13" width="9.5703125" style="2" bestFit="1" customWidth="1"/>
    <col min="14" max="14" width="18.7109375" style="2" customWidth="1"/>
    <col min="15" max="15" width="13.7109375" style="2" customWidth="1"/>
    <col min="16" max="17" width="9.140625" style="2"/>
    <col min="18" max="18" width="15.85546875" style="2" bestFit="1" customWidth="1"/>
    <col min="19" max="19" width="11.28515625" style="2" bestFit="1" customWidth="1"/>
    <col min="20" max="16384" width="9.140625" style="2"/>
  </cols>
  <sheetData>
    <row r="2" spans="2:18" ht="15" customHeight="1" x14ac:dyDescent="0.25">
      <c r="B2" s="21" t="s">
        <v>45</v>
      </c>
      <c r="C2" s="21" t="s">
        <v>25</v>
      </c>
      <c r="D2" s="20">
        <f>SUM(ingresos_julio[Monto])</f>
        <v>2550</v>
      </c>
      <c r="G2" s="21" t="s">
        <v>46</v>
      </c>
      <c r="H2" s="21" t="s">
        <v>25</v>
      </c>
      <c r="I2" s="20">
        <f>GETPIVOTDATA("Monto",$L$4)</f>
        <v>1925</v>
      </c>
      <c r="L2" s="48" t="s">
        <v>29</v>
      </c>
      <c r="M2" s="49"/>
      <c r="R2" s="4"/>
    </row>
    <row r="4" spans="2:18" ht="15" customHeight="1" x14ac:dyDescent="0.25">
      <c r="B4" s="2" t="s">
        <v>30</v>
      </c>
      <c r="C4" s="2" t="s">
        <v>31</v>
      </c>
      <c r="D4" s="3" t="s">
        <v>32</v>
      </c>
      <c r="G4" s="22" t="s">
        <v>30</v>
      </c>
      <c r="H4" s="23" t="s">
        <v>31</v>
      </c>
      <c r="I4" s="27" t="s">
        <v>32</v>
      </c>
      <c r="L4" s="24" t="s">
        <v>6</v>
      </c>
      <c r="M4" s="25" t="s">
        <v>25</v>
      </c>
    </row>
    <row r="5" spans="2:18" ht="15" customHeight="1" x14ac:dyDescent="0.25">
      <c r="B5" s="2" t="s">
        <v>67</v>
      </c>
      <c r="C5" s="2" t="s">
        <v>33</v>
      </c>
      <c r="D5" s="3">
        <v>1675</v>
      </c>
      <c r="G5" s="11" t="s">
        <v>26</v>
      </c>
      <c r="H5" s="5" t="s">
        <v>0</v>
      </c>
      <c r="I5" s="28">
        <v>320</v>
      </c>
      <c r="L5" s="6" t="s">
        <v>0</v>
      </c>
      <c r="M5" s="6">
        <v>320</v>
      </c>
    </row>
    <row r="6" spans="2:18" ht="15" customHeight="1" x14ac:dyDescent="0.25">
      <c r="B6" s="2" t="s">
        <v>78</v>
      </c>
      <c r="C6" s="2" t="s">
        <v>59</v>
      </c>
      <c r="D6" s="3">
        <v>600</v>
      </c>
      <c r="G6" s="11" t="s">
        <v>68</v>
      </c>
      <c r="H6" s="5" t="s">
        <v>2</v>
      </c>
      <c r="I6" s="28">
        <v>650</v>
      </c>
      <c r="L6" s="6" t="s">
        <v>1</v>
      </c>
      <c r="M6" s="6">
        <v>250</v>
      </c>
    </row>
    <row r="7" spans="2:18" ht="15" customHeight="1" x14ac:dyDescent="0.25">
      <c r="B7" s="2" t="s">
        <v>57</v>
      </c>
      <c r="C7" s="2" t="s">
        <v>4</v>
      </c>
      <c r="D7" s="3">
        <v>240</v>
      </c>
      <c r="G7" s="11" t="s">
        <v>69</v>
      </c>
      <c r="H7" s="5" t="s">
        <v>1</v>
      </c>
      <c r="I7" s="28">
        <v>50</v>
      </c>
      <c r="L7" s="6" t="s">
        <v>3</v>
      </c>
      <c r="M7" s="6">
        <v>145</v>
      </c>
    </row>
    <row r="8" spans="2:18" ht="15" customHeight="1" x14ac:dyDescent="0.25">
      <c r="B8" s="2" t="s">
        <v>58</v>
      </c>
      <c r="C8" s="2" t="s">
        <v>4</v>
      </c>
      <c r="D8" s="3">
        <v>35</v>
      </c>
      <c r="G8" s="11" t="s">
        <v>70</v>
      </c>
      <c r="H8" s="5" t="s">
        <v>71</v>
      </c>
      <c r="I8" s="28">
        <v>340</v>
      </c>
      <c r="L8" s="6" t="s">
        <v>71</v>
      </c>
      <c r="M8" s="6">
        <v>340</v>
      </c>
    </row>
    <row r="9" spans="2:18" ht="15" customHeight="1" x14ac:dyDescent="0.25">
      <c r="G9" s="11" t="s">
        <v>72</v>
      </c>
      <c r="H9" s="5" t="s">
        <v>3</v>
      </c>
      <c r="I9" s="28">
        <v>120</v>
      </c>
      <c r="L9" s="6" t="s">
        <v>2</v>
      </c>
      <c r="M9" s="6">
        <v>870</v>
      </c>
    </row>
    <row r="10" spans="2:18" ht="15" customHeight="1" x14ac:dyDescent="0.25">
      <c r="G10" s="11" t="s">
        <v>73</v>
      </c>
      <c r="H10" s="5" t="s">
        <v>3</v>
      </c>
      <c r="I10" s="28">
        <v>25</v>
      </c>
      <c r="L10" s="24" t="s">
        <v>7</v>
      </c>
      <c r="M10" s="26">
        <v>1925</v>
      </c>
    </row>
    <row r="11" spans="2:18" ht="15" customHeight="1" x14ac:dyDescent="0.25">
      <c r="G11" s="11" t="s">
        <v>74</v>
      </c>
      <c r="H11" s="5" t="s">
        <v>2</v>
      </c>
      <c r="I11" s="28">
        <v>220</v>
      </c>
      <c r="L11"/>
      <c r="M11"/>
    </row>
    <row r="12" spans="2:18" ht="15" customHeight="1" x14ac:dyDescent="0.25">
      <c r="G12" s="11" t="s">
        <v>75</v>
      </c>
      <c r="H12" s="5" t="s">
        <v>1</v>
      </c>
      <c r="I12" s="28">
        <v>200</v>
      </c>
      <c r="L12"/>
      <c r="M12"/>
    </row>
    <row r="13" spans="2:18" ht="15" customHeight="1" x14ac:dyDescent="0.25">
      <c r="L13"/>
      <c r="M13"/>
    </row>
    <row r="14" spans="2:18" ht="15" customHeight="1" x14ac:dyDescent="0.25">
      <c r="L14"/>
      <c r="M14"/>
    </row>
    <row r="15" spans="2:18" ht="15" customHeight="1" x14ac:dyDescent="0.25">
      <c r="L15"/>
      <c r="M15"/>
    </row>
    <row r="16" spans="2:18" ht="15" customHeight="1" x14ac:dyDescent="0.25">
      <c r="L16" s="19"/>
    </row>
    <row r="17" spans="12:12" ht="15" customHeight="1" x14ac:dyDescent="0.25">
      <c r="L17" s="19"/>
    </row>
    <row r="18" spans="12:12" ht="15" customHeight="1" x14ac:dyDescent="0.25">
      <c r="L18" s="19"/>
    </row>
    <row r="19" spans="12:12" ht="15" customHeight="1" x14ac:dyDescent="0.25">
      <c r="L19" s="19"/>
    </row>
  </sheetData>
  <mergeCells count="1">
    <mergeCell ref="L2:M2"/>
  </mergeCells>
  <pageMargins left="0.7" right="0.7" top="0.75" bottom="0.75" header="0.3" footer="0.3"/>
  <drawing r:id="rId2"/>
  <tableParts count="2"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335D-2417-4544-A1EC-4B7B1E0A832F}">
  <dimension ref="B2:R19"/>
  <sheetViews>
    <sheetView workbookViewId="0">
      <selection activeCell="H20" sqref="H20"/>
    </sheetView>
  </sheetViews>
  <sheetFormatPr baseColWidth="10" defaultColWidth="9.140625" defaultRowHeight="15" customHeight="1" x14ac:dyDescent="0.25"/>
  <cols>
    <col min="1" max="1" width="9.140625" style="2"/>
    <col min="2" max="2" width="31.42578125" style="2" customWidth="1"/>
    <col min="3" max="3" width="19.42578125" style="2" customWidth="1"/>
    <col min="4" max="4" width="17.5703125" style="3" customWidth="1"/>
    <col min="5" max="6" width="9.140625" style="2"/>
    <col min="7" max="7" width="28.42578125" style="2" bestFit="1" customWidth="1"/>
    <col min="8" max="8" width="14" style="2" bestFit="1" customWidth="1"/>
    <col min="9" max="9" width="18.5703125" style="2" customWidth="1"/>
    <col min="10" max="10" width="15.85546875" style="2" bestFit="1" customWidth="1"/>
    <col min="11" max="11" width="11.28515625" style="2" customWidth="1"/>
    <col min="12" max="12" width="15.85546875" style="2" bestFit="1" customWidth="1"/>
    <col min="13" max="13" width="9.5703125" style="2" bestFit="1" customWidth="1"/>
    <col min="14" max="14" width="18.7109375" style="2" customWidth="1"/>
    <col min="15" max="15" width="13.7109375" style="2" customWidth="1"/>
    <col min="16" max="17" width="9.140625" style="2"/>
    <col min="18" max="18" width="15.85546875" style="2" bestFit="1" customWidth="1"/>
    <col min="19" max="19" width="11.28515625" style="2" bestFit="1" customWidth="1"/>
    <col min="20" max="16384" width="9.140625" style="2"/>
  </cols>
  <sheetData>
    <row r="2" spans="2:18" ht="15" customHeight="1" x14ac:dyDescent="0.25">
      <c r="B2" s="21" t="s">
        <v>47</v>
      </c>
      <c r="C2" s="21" t="s">
        <v>25</v>
      </c>
      <c r="D2" s="20">
        <f>SUM(ingresos_agosto[Monto])</f>
        <v>2095</v>
      </c>
      <c r="G2" s="21" t="s">
        <v>48</v>
      </c>
      <c r="H2" s="21" t="s">
        <v>25</v>
      </c>
      <c r="I2" s="20">
        <f>GETPIVOTDATA("Monto",$L$4)</f>
        <v>1805</v>
      </c>
      <c r="L2" s="48" t="s">
        <v>29</v>
      </c>
      <c r="M2" s="49"/>
      <c r="R2" s="4"/>
    </row>
    <row r="4" spans="2:18" ht="15" customHeight="1" x14ac:dyDescent="0.25">
      <c r="B4" s="2" t="s">
        <v>30</v>
      </c>
      <c r="C4" s="2" t="s">
        <v>31</v>
      </c>
      <c r="D4" s="3" t="s">
        <v>32</v>
      </c>
      <c r="G4" s="22" t="s">
        <v>30</v>
      </c>
      <c r="H4" s="23" t="s">
        <v>31</v>
      </c>
      <c r="I4" s="27" t="s">
        <v>32</v>
      </c>
      <c r="L4" s="24" t="s">
        <v>6</v>
      </c>
      <c r="M4" s="25" t="s">
        <v>25</v>
      </c>
    </row>
    <row r="5" spans="2:18" ht="15" customHeight="1" x14ac:dyDescent="0.25">
      <c r="B5" s="2" t="s">
        <v>67</v>
      </c>
      <c r="C5" s="2" t="s">
        <v>33</v>
      </c>
      <c r="D5" s="3">
        <v>1675</v>
      </c>
      <c r="G5" s="11" t="s">
        <v>26</v>
      </c>
      <c r="H5" s="5" t="s">
        <v>0</v>
      </c>
      <c r="I5" s="28">
        <v>280</v>
      </c>
      <c r="L5" s="6" t="s">
        <v>0</v>
      </c>
      <c r="M5" s="6">
        <v>280</v>
      </c>
    </row>
    <row r="6" spans="2:18" ht="15" customHeight="1" x14ac:dyDescent="0.25">
      <c r="B6" s="2" t="s">
        <v>57</v>
      </c>
      <c r="C6" s="2" t="s">
        <v>4</v>
      </c>
      <c r="D6" s="3">
        <v>400</v>
      </c>
      <c r="G6" s="11" t="s">
        <v>68</v>
      </c>
      <c r="H6" s="5" t="s">
        <v>2</v>
      </c>
      <c r="I6" s="28">
        <v>650</v>
      </c>
      <c r="L6" s="6" t="s">
        <v>1</v>
      </c>
      <c r="M6" s="6">
        <v>180</v>
      </c>
    </row>
    <row r="7" spans="2:18" ht="15" customHeight="1" x14ac:dyDescent="0.25">
      <c r="B7" s="2" t="s">
        <v>58</v>
      </c>
      <c r="C7" s="2" t="s">
        <v>4</v>
      </c>
      <c r="D7" s="3">
        <v>20</v>
      </c>
      <c r="G7" s="11" t="s">
        <v>69</v>
      </c>
      <c r="H7" s="5" t="s">
        <v>1</v>
      </c>
      <c r="I7" s="28">
        <v>60</v>
      </c>
      <c r="L7" s="6" t="s">
        <v>3</v>
      </c>
      <c r="M7" s="6">
        <v>145</v>
      </c>
    </row>
    <row r="8" spans="2:18" ht="15" customHeight="1" x14ac:dyDescent="0.25">
      <c r="G8" s="11" t="s">
        <v>70</v>
      </c>
      <c r="H8" s="5" t="s">
        <v>71</v>
      </c>
      <c r="I8" s="28">
        <v>300</v>
      </c>
      <c r="L8" s="6" t="s">
        <v>71</v>
      </c>
      <c r="M8" s="6">
        <v>300</v>
      </c>
    </row>
    <row r="9" spans="2:18" ht="15" customHeight="1" x14ac:dyDescent="0.25">
      <c r="G9" s="11" t="s">
        <v>72</v>
      </c>
      <c r="H9" s="5" t="s">
        <v>3</v>
      </c>
      <c r="I9" s="28">
        <v>120</v>
      </c>
      <c r="L9" s="6" t="s">
        <v>2</v>
      </c>
      <c r="M9" s="6">
        <v>900</v>
      </c>
    </row>
    <row r="10" spans="2:18" ht="15" customHeight="1" x14ac:dyDescent="0.25">
      <c r="G10" s="11" t="s">
        <v>73</v>
      </c>
      <c r="H10" s="5" t="s">
        <v>3</v>
      </c>
      <c r="I10" s="28">
        <v>25</v>
      </c>
      <c r="L10" s="24" t="s">
        <v>7</v>
      </c>
      <c r="M10" s="26">
        <v>1805</v>
      </c>
    </row>
    <row r="11" spans="2:18" ht="15" customHeight="1" x14ac:dyDescent="0.25">
      <c r="G11" s="11" t="s">
        <v>74</v>
      </c>
      <c r="H11" s="5" t="s">
        <v>2</v>
      </c>
      <c r="I11" s="28">
        <v>250</v>
      </c>
      <c r="L11"/>
      <c r="M11"/>
    </row>
    <row r="12" spans="2:18" ht="15" customHeight="1" x14ac:dyDescent="0.25">
      <c r="G12" s="11" t="s">
        <v>75</v>
      </c>
      <c r="H12" s="5" t="s">
        <v>1</v>
      </c>
      <c r="I12" s="28">
        <v>120</v>
      </c>
      <c r="L12"/>
      <c r="M12"/>
    </row>
    <row r="13" spans="2:18" ht="15" customHeight="1" x14ac:dyDescent="0.25">
      <c r="L13"/>
      <c r="M13"/>
    </row>
    <row r="14" spans="2:18" ht="15" customHeight="1" x14ac:dyDescent="0.25">
      <c r="L14"/>
      <c r="M14"/>
    </row>
    <row r="15" spans="2:18" ht="15" customHeight="1" x14ac:dyDescent="0.25">
      <c r="L15"/>
      <c r="M15"/>
    </row>
    <row r="16" spans="2:18" ht="15" customHeight="1" x14ac:dyDescent="0.25">
      <c r="L16" s="19"/>
    </row>
    <row r="17" spans="12:12" ht="15" customHeight="1" x14ac:dyDescent="0.25">
      <c r="L17" s="19"/>
    </row>
    <row r="18" spans="12:12" ht="15" customHeight="1" x14ac:dyDescent="0.25">
      <c r="L18" s="19"/>
    </row>
    <row r="19" spans="12:12" ht="15" customHeight="1" x14ac:dyDescent="0.25">
      <c r="L19" s="19"/>
    </row>
  </sheetData>
  <mergeCells count="1">
    <mergeCell ref="L2:M2"/>
  </mergeCells>
  <pageMargins left="0.7" right="0.7" top="0.75" bottom="0.75" header="0.3" footer="0.3"/>
  <drawing r:id="rId2"/>
  <tableParts count="2"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2D1B-50B9-4F57-AE5C-DCC75E49BEA3}">
  <dimension ref="B2:R19"/>
  <sheetViews>
    <sheetView workbookViewId="0">
      <selection activeCell="H29" sqref="H29"/>
    </sheetView>
  </sheetViews>
  <sheetFormatPr baseColWidth="10" defaultColWidth="9.140625" defaultRowHeight="15" customHeight="1" x14ac:dyDescent="0.25"/>
  <cols>
    <col min="1" max="1" width="9.140625" style="2"/>
    <col min="2" max="2" width="31.42578125" style="2" customWidth="1"/>
    <col min="3" max="3" width="19.42578125" style="2" customWidth="1"/>
    <col min="4" max="4" width="17.5703125" style="3" customWidth="1"/>
    <col min="5" max="6" width="9.140625" style="2"/>
    <col min="7" max="7" width="28.42578125" style="2" bestFit="1" customWidth="1"/>
    <col min="8" max="8" width="14" style="2" bestFit="1" customWidth="1"/>
    <col min="9" max="9" width="18.5703125" style="2" customWidth="1"/>
    <col min="10" max="10" width="15.85546875" style="2" bestFit="1" customWidth="1"/>
    <col min="11" max="11" width="11.28515625" style="2" customWidth="1"/>
    <col min="12" max="12" width="15.85546875" style="2" bestFit="1" customWidth="1"/>
    <col min="13" max="13" width="9.5703125" style="2" bestFit="1" customWidth="1"/>
    <col min="14" max="14" width="18.7109375" style="2" customWidth="1"/>
    <col min="15" max="15" width="13.7109375" style="2" customWidth="1"/>
    <col min="16" max="17" width="9.140625" style="2"/>
    <col min="18" max="18" width="15.85546875" style="2" bestFit="1" customWidth="1"/>
    <col min="19" max="19" width="11.28515625" style="2" bestFit="1" customWidth="1"/>
    <col min="20" max="16384" width="9.140625" style="2"/>
  </cols>
  <sheetData>
    <row r="2" spans="2:18" ht="15" customHeight="1" x14ac:dyDescent="0.25">
      <c r="B2" s="21" t="s">
        <v>49</v>
      </c>
      <c r="C2" s="21" t="s">
        <v>25</v>
      </c>
      <c r="D2" s="20">
        <f>SUM(ingresos_septiembre[Monto])</f>
        <v>1625</v>
      </c>
      <c r="G2" s="21" t="s">
        <v>50</v>
      </c>
      <c r="H2" s="21" t="s">
        <v>25</v>
      </c>
      <c r="I2" s="20">
        <f>GETPIVOTDATA("Monto",$L$4)</f>
        <v>1715</v>
      </c>
      <c r="L2" s="48" t="s">
        <v>29</v>
      </c>
      <c r="M2" s="49"/>
      <c r="R2" s="4"/>
    </row>
    <row r="4" spans="2:18" ht="15" customHeight="1" x14ac:dyDescent="0.25">
      <c r="B4" s="2" t="s">
        <v>30</v>
      </c>
      <c r="C4" s="2" t="s">
        <v>31</v>
      </c>
      <c r="D4" s="3" t="s">
        <v>32</v>
      </c>
      <c r="G4" s="22" t="s">
        <v>30</v>
      </c>
      <c r="H4" s="23" t="s">
        <v>31</v>
      </c>
      <c r="I4" s="27" t="s">
        <v>32</v>
      </c>
      <c r="L4" s="24" t="s">
        <v>6</v>
      </c>
      <c r="M4" s="25" t="s">
        <v>25</v>
      </c>
    </row>
    <row r="5" spans="2:18" ht="15" customHeight="1" x14ac:dyDescent="0.25">
      <c r="B5" s="2" t="s">
        <v>67</v>
      </c>
      <c r="C5" s="2" t="s">
        <v>33</v>
      </c>
      <c r="D5" s="3">
        <v>1675</v>
      </c>
      <c r="G5" s="11" t="s">
        <v>26</v>
      </c>
      <c r="H5" s="5" t="s">
        <v>0</v>
      </c>
      <c r="I5" s="28">
        <v>260</v>
      </c>
      <c r="L5" s="6" t="s">
        <v>0</v>
      </c>
      <c r="M5" s="6">
        <v>260</v>
      </c>
    </row>
    <row r="6" spans="2:18" ht="15" customHeight="1" x14ac:dyDescent="0.25">
      <c r="B6" s="2" t="s">
        <v>57</v>
      </c>
      <c r="C6" s="2" t="s">
        <v>4</v>
      </c>
      <c r="D6" s="3">
        <v>-100</v>
      </c>
      <c r="G6" s="11" t="s">
        <v>68</v>
      </c>
      <c r="H6" s="5" t="s">
        <v>2</v>
      </c>
      <c r="I6" s="28">
        <v>650</v>
      </c>
      <c r="L6" s="6" t="s">
        <v>1</v>
      </c>
      <c r="M6" s="6">
        <v>170</v>
      </c>
    </row>
    <row r="7" spans="2:18" ht="15" customHeight="1" x14ac:dyDescent="0.25">
      <c r="B7" s="2" t="s">
        <v>58</v>
      </c>
      <c r="C7" s="2" t="s">
        <v>4</v>
      </c>
      <c r="D7" s="3">
        <v>50</v>
      </c>
      <c r="G7" s="11" t="s">
        <v>69</v>
      </c>
      <c r="H7" s="5" t="s">
        <v>1</v>
      </c>
      <c r="I7" s="28">
        <v>45</v>
      </c>
      <c r="L7" s="6" t="s">
        <v>3</v>
      </c>
      <c r="M7" s="6">
        <v>145</v>
      </c>
    </row>
    <row r="8" spans="2:18" ht="15" customHeight="1" x14ac:dyDescent="0.25">
      <c r="G8" s="11" t="s">
        <v>70</v>
      </c>
      <c r="H8" s="5" t="s">
        <v>71</v>
      </c>
      <c r="I8" s="28">
        <v>290</v>
      </c>
      <c r="L8" s="6" t="s">
        <v>71</v>
      </c>
      <c r="M8" s="6">
        <v>290</v>
      </c>
    </row>
    <row r="9" spans="2:18" ht="15" customHeight="1" x14ac:dyDescent="0.25">
      <c r="G9" s="11" t="s">
        <v>72</v>
      </c>
      <c r="H9" s="5" t="s">
        <v>3</v>
      </c>
      <c r="I9" s="28">
        <v>120</v>
      </c>
      <c r="L9" s="6" t="s">
        <v>2</v>
      </c>
      <c r="M9" s="6">
        <v>850</v>
      </c>
    </row>
    <row r="10" spans="2:18" ht="15" customHeight="1" x14ac:dyDescent="0.25">
      <c r="G10" s="11" t="s">
        <v>73</v>
      </c>
      <c r="H10" s="5" t="s">
        <v>3</v>
      </c>
      <c r="I10" s="28">
        <v>25</v>
      </c>
      <c r="L10" s="24" t="s">
        <v>7</v>
      </c>
      <c r="M10" s="26">
        <v>1715</v>
      </c>
    </row>
    <row r="11" spans="2:18" ht="15" customHeight="1" x14ac:dyDescent="0.25">
      <c r="G11" s="11" t="s">
        <v>74</v>
      </c>
      <c r="H11" s="5" t="s">
        <v>2</v>
      </c>
      <c r="I11" s="28">
        <v>200</v>
      </c>
      <c r="L11"/>
      <c r="M11"/>
    </row>
    <row r="12" spans="2:18" ht="15" customHeight="1" x14ac:dyDescent="0.25">
      <c r="G12" s="11" t="s">
        <v>75</v>
      </c>
      <c r="H12" s="5" t="s">
        <v>1</v>
      </c>
      <c r="I12" s="28">
        <v>125</v>
      </c>
      <c r="L12"/>
      <c r="M12"/>
    </row>
    <row r="13" spans="2:18" ht="15" customHeight="1" x14ac:dyDescent="0.25">
      <c r="L13"/>
      <c r="M13"/>
    </row>
    <row r="14" spans="2:18" ht="15" customHeight="1" x14ac:dyDescent="0.25">
      <c r="L14"/>
      <c r="M14"/>
    </row>
    <row r="15" spans="2:18" ht="15" customHeight="1" x14ac:dyDescent="0.25">
      <c r="L15"/>
      <c r="M15"/>
    </row>
    <row r="16" spans="2:18" ht="15" customHeight="1" x14ac:dyDescent="0.25">
      <c r="L16" s="19"/>
    </row>
    <row r="17" spans="12:12" ht="15" customHeight="1" x14ac:dyDescent="0.25">
      <c r="L17" s="19"/>
    </row>
    <row r="18" spans="12:12" ht="15" customHeight="1" x14ac:dyDescent="0.25">
      <c r="L18" s="19"/>
    </row>
    <row r="19" spans="12:12" ht="15" customHeight="1" x14ac:dyDescent="0.25">
      <c r="L19" s="19"/>
    </row>
  </sheetData>
  <mergeCells count="1">
    <mergeCell ref="L2:M2"/>
  </mergeCells>
  <pageMargins left="0.7" right="0.7" top="0.75" bottom="0.75" header="0.3" footer="0.3"/>
  <drawing r:id="rId2"/>
  <tableParts count="2"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1F2B1-09CA-463F-9A4C-07DDA4C889FE}">
  <dimension ref="B2:R19"/>
  <sheetViews>
    <sheetView workbookViewId="0">
      <selection activeCell="H20" sqref="H20"/>
    </sheetView>
  </sheetViews>
  <sheetFormatPr baseColWidth="10" defaultColWidth="9.140625" defaultRowHeight="15" customHeight="1" x14ac:dyDescent="0.25"/>
  <cols>
    <col min="1" max="1" width="9.140625" style="2"/>
    <col min="2" max="2" width="31.42578125" style="2" customWidth="1"/>
    <col min="3" max="3" width="19.42578125" style="2" customWidth="1"/>
    <col min="4" max="4" width="17.5703125" style="3" customWidth="1"/>
    <col min="5" max="6" width="9.140625" style="2"/>
    <col min="7" max="7" width="28.42578125" style="2" bestFit="1" customWidth="1"/>
    <col min="8" max="8" width="14" style="2" bestFit="1" customWidth="1"/>
    <col min="9" max="9" width="18.5703125" style="2" customWidth="1"/>
    <col min="10" max="10" width="15.85546875" style="2" bestFit="1" customWidth="1"/>
    <col min="11" max="11" width="11.28515625" style="2" customWidth="1"/>
    <col min="12" max="12" width="15.85546875" style="2" bestFit="1" customWidth="1"/>
    <col min="13" max="13" width="9.5703125" style="2" bestFit="1" customWidth="1"/>
    <col min="14" max="14" width="18.7109375" style="2" customWidth="1"/>
    <col min="15" max="15" width="13.7109375" style="2" customWidth="1"/>
    <col min="16" max="17" width="9.140625" style="2"/>
    <col min="18" max="18" width="15.85546875" style="2" bestFit="1" customWidth="1"/>
    <col min="19" max="19" width="11.28515625" style="2" bestFit="1" customWidth="1"/>
    <col min="20" max="16384" width="9.140625" style="2"/>
  </cols>
  <sheetData>
    <row r="2" spans="2:18" ht="15" customHeight="1" x14ac:dyDescent="0.25">
      <c r="B2" s="21" t="s">
        <v>51</v>
      </c>
      <c r="C2" s="21" t="s">
        <v>25</v>
      </c>
      <c r="D2" s="20">
        <f>SUM(ingresos_octubre[Monto])</f>
        <v>1973</v>
      </c>
      <c r="G2" s="21" t="s">
        <v>52</v>
      </c>
      <c r="H2" s="21" t="s">
        <v>25</v>
      </c>
      <c r="I2" s="20">
        <f>GETPIVOTDATA("Monto",$L$4)</f>
        <v>1810</v>
      </c>
      <c r="L2" s="48" t="s">
        <v>29</v>
      </c>
      <c r="M2" s="49"/>
      <c r="R2" s="4"/>
    </row>
    <row r="4" spans="2:18" ht="15" customHeight="1" x14ac:dyDescent="0.25">
      <c r="B4" s="2" t="s">
        <v>30</v>
      </c>
      <c r="C4" s="2" t="s">
        <v>31</v>
      </c>
      <c r="D4" s="3" t="s">
        <v>32</v>
      </c>
      <c r="G4" s="22" t="s">
        <v>30</v>
      </c>
      <c r="H4" s="23" t="s">
        <v>31</v>
      </c>
      <c r="I4" s="27" t="s">
        <v>32</v>
      </c>
      <c r="L4" s="24" t="s">
        <v>6</v>
      </c>
      <c r="M4" s="25" t="s">
        <v>25</v>
      </c>
    </row>
    <row r="5" spans="2:18" ht="15" customHeight="1" x14ac:dyDescent="0.25">
      <c r="B5" s="2" t="s">
        <v>67</v>
      </c>
      <c r="C5" s="2" t="s">
        <v>33</v>
      </c>
      <c r="D5" s="3">
        <v>1675</v>
      </c>
      <c r="G5" s="11" t="s">
        <v>26</v>
      </c>
      <c r="H5" s="5" t="s">
        <v>0</v>
      </c>
      <c r="I5" s="28">
        <v>320</v>
      </c>
      <c r="L5" s="6" t="s">
        <v>0</v>
      </c>
      <c r="M5" s="6">
        <v>320</v>
      </c>
    </row>
    <row r="6" spans="2:18" ht="15" customHeight="1" x14ac:dyDescent="0.25">
      <c r="B6" s="2" t="s">
        <v>57</v>
      </c>
      <c r="C6" s="2" t="s">
        <v>4</v>
      </c>
      <c r="D6" s="3">
        <v>260</v>
      </c>
      <c r="G6" s="11" t="s">
        <v>68</v>
      </c>
      <c r="H6" s="5" t="s">
        <v>2</v>
      </c>
      <c r="I6" s="28">
        <v>650</v>
      </c>
      <c r="L6" s="6" t="s">
        <v>1</v>
      </c>
      <c r="M6" s="6">
        <v>175</v>
      </c>
    </row>
    <row r="7" spans="2:18" ht="15" customHeight="1" x14ac:dyDescent="0.25">
      <c r="B7" s="2" t="s">
        <v>58</v>
      </c>
      <c r="C7" s="2" t="s">
        <v>4</v>
      </c>
      <c r="D7" s="3">
        <v>38</v>
      </c>
      <c r="G7" s="11" t="s">
        <v>69</v>
      </c>
      <c r="H7" s="5" t="s">
        <v>1</v>
      </c>
      <c r="I7" s="28">
        <v>50</v>
      </c>
      <c r="L7" s="6" t="s">
        <v>3</v>
      </c>
      <c r="M7" s="6">
        <v>145</v>
      </c>
    </row>
    <row r="8" spans="2:18" ht="15" customHeight="1" x14ac:dyDescent="0.25">
      <c r="G8" s="11" t="s">
        <v>70</v>
      </c>
      <c r="H8" s="5" t="s">
        <v>71</v>
      </c>
      <c r="I8" s="28">
        <v>320</v>
      </c>
      <c r="L8" s="6" t="s">
        <v>71</v>
      </c>
      <c r="M8" s="6">
        <v>320</v>
      </c>
    </row>
    <row r="9" spans="2:18" ht="15" customHeight="1" x14ac:dyDescent="0.25">
      <c r="G9" s="11" t="s">
        <v>72</v>
      </c>
      <c r="H9" s="5" t="s">
        <v>3</v>
      </c>
      <c r="I9" s="28">
        <v>120</v>
      </c>
      <c r="L9" s="6" t="s">
        <v>2</v>
      </c>
      <c r="M9" s="6">
        <v>850</v>
      </c>
    </row>
    <row r="10" spans="2:18" ht="15" customHeight="1" x14ac:dyDescent="0.25">
      <c r="G10" s="11" t="s">
        <v>73</v>
      </c>
      <c r="H10" s="5" t="s">
        <v>3</v>
      </c>
      <c r="I10" s="28">
        <v>25</v>
      </c>
      <c r="L10" s="24" t="s">
        <v>7</v>
      </c>
      <c r="M10" s="26">
        <v>1810</v>
      </c>
    </row>
    <row r="11" spans="2:18" ht="15" customHeight="1" x14ac:dyDescent="0.25">
      <c r="G11" s="11" t="s">
        <v>74</v>
      </c>
      <c r="H11" s="5" t="s">
        <v>2</v>
      </c>
      <c r="I11" s="28">
        <v>200</v>
      </c>
      <c r="L11"/>
      <c r="M11"/>
    </row>
    <row r="12" spans="2:18" ht="15" customHeight="1" x14ac:dyDescent="0.25">
      <c r="G12" s="11" t="s">
        <v>75</v>
      </c>
      <c r="H12" s="5" t="s">
        <v>1</v>
      </c>
      <c r="I12" s="28">
        <v>125</v>
      </c>
      <c r="L12"/>
      <c r="M12"/>
    </row>
    <row r="13" spans="2:18" ht="15" customHeight="1" x14ac:dyDescent="0.25">
      <c r="L13"/>
      <c r="M13"/>
    </row>
    <row r="14" spans="2:18" ht="15" customHeight="1" x14ac:dyDescent="0.25">
      <c r="L14"/>
      <c r="M14"/>
    </row>
    <row r="15" spans="2:18" ht="15" customHeight="1" x14ac:dyDescent="0.25">
      <c r="L15"/>
      <c r="M15"/>
    </row>
    <row r="16" spans="2:18" ht="15" customHeight="1" x14ac:dyDescent="0.25">
      <c r="L16" s="19"/>
    </row>
    <row r="17" spans="12:12" ht="15" customHeight="1" x14ac:dyDescent="0.25">
      <c r="L17" s="19"/>
    </row>
    <row r="18" spans="12:12" ht="15" customHeight="1" x14ac:dyDescent="0.25">
      <c r="L18" s="19"/>
    </row>
    <row r="19" spans="12:12" ht="15" customHeight="1" x14ac:dyDescent="0.25">
      <c r="L19" s="19"/>
    </row>
  </sheetData>
  <mergeCells count="1">
    <mergeCell ref="L2:M2"/>
  </mergeCells>
  <pageMargins left="0.7" right="0.7" top="0.75" bottom="0.75" header="0.3" footer="0.3"/>
  <drawing r:id="rId2"/>
  <tableParts count="2"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D5BC7-420B-4E65-A46F-88E0A5E34E90}">
  <dimension ref="B2:R19"/>
  <sheetViews>
    <sheetView workbookViewId="0">
      <selection activeCell="G26" sqref="G26"/>
    </sheetView>
  </sheetViews>
  <sheetFormatPr baseColWidth="10" defaultColWidth="9.140625" defaultRowHeight="15" customHeight="1" x14ac:dyDescent="0.25"/>
  <cols>
    <col min="1" max="1" width="9.140625" style="2"/>
    <col min="2" max="2" width="31.42578125" style="2" customWidth="1"/>
    <col min="3" max="3" width="19.42578125" style="2" customWidth="1"/>
    <col min="4" max="4" width="17.5703125" style="3" customWidth="1"/>
    <col min="5" max="6" width="9.140625" style="2"/>
    <col min="7" max="7" width="28.42578125" style="2" bestFit="1" customWidth="1"/>
    <col min="8" max="8" width="14" style="2" bestFit="1" customWidth="1"/>
    <col min="9" max="9" width="18.5703125" style="2" customWidth="1"/>
    <col min="10" max="10" width="15.85546875" style="2" bestFit="1" customWidth="1"/>
    <col min="11" max="11" width="11.28515625" style="2" customWidth="1"/>
    <col min="12" max="12" width="15.85546875" style="2" bestFit="1" customWidth="1"/>
    <col min="13" max="13" width="9.5703125" style="2" bestFit="1" customWidth="1"/>
    <col min="14" max="14" width="18.7109375" style="2" customWidth="1"/>
    <col min="15" max="15" width="13.7109375" style="2" customWidth="1"/>
    <col min="16" max="17" width="9.140625" style="2"/>
    <col min="18" max="18" width="15.85546875" style="2" bestFit="1" customWidth="1"/>
    <col min="19" max="19" width="11.28515625" style="2" bestFit="1" customWidth="1"/>
    <col min="20" max="16384" width="9.140625" style="2"/>
  </cols>
  <sheetData>
    <row r="2" spans="2:18" ht="15" customHeight="1" x14ac:dyDescent="0.25">
      <c r="B2" s="21" t="s">
        <v>53</v>
      </c>
      <c r="C2" s="21" t="s">
        <v>25</v>
      </c>
      <c r="D2" s="20">
        <f>SUM(ingresos_noviembre[Monto])</f>
        <v>2130</v>
      </c>
      <c r="G2" s="21" t="s">
        <v>54</v>
      </c>
      <c r="H2" s="21" t="s">
        <v>25</v>
      </c>
      <c r="I2" s="20">
        <f>GETPIVOTDATA("Monto",$L$4)</f>
        <v>1893</v>
      </c>
      <c r="L2" s="48" t="s">
        <v>29</v>
      </c>
      <c r="M2" s="49"/>
      <c r="R2" s="4"/>
    </row>
    <row r="4" spans="2:18" ht="15" customHeight="1" x14ac:dyDescent="0.25">
      <c r="B4" s="2" t="s">
        <v>30</v>
      </c>
      <c r="C4" s="2" t="s">
        <v>31</v>
      </c>
      <c r="D4" s="3" t="s">
        <v>32</v>
      </c>
      <c r="G4" s="22" t="s">
        <v>30</v>
      </c>
      <c r="H4" s="23" t="s">
        <v>31</v>
      </c>
      <c r="I4" s="27" t="s">
        <v>32</v>
      </c>
      <c r="L4" s="24" t="s">
        <v>6</v>
      </c>
      <c r="M4" s="25" t="s">
        <v>25</v>
      </c>
    </row>
    <row r="5" spans="2:18" ht="15" customHeight="1" x14ac:dyDescent="0.25">
      <c r="B5" s="2" t="s">
        <v>67</v>
      </c>
      <c r="C5" s="2" t="s">
        <v>33</v>
      </c>
      <c r="D5" s="3">
        <v>1675</v>
      </c>
      <c r="G5" s="11" t="s">
        <v>26</v>
      </c>
      <c r="H5" s="5" t="s">
        <v>0</v>
      </c>
      <c r="I5" s="28">
        <v>340</v>
      </c>
      <c r="L5" s="6" t="s">
        <v>0</v>
      </c>
      <c r="M5" s="6">
        <v>340</v>
      </c>
    </row>
    <row r="6" spans="2:18" ht="15" customHeight="1" x14ac:dyDescent="0.25">
      <c r="B6" s="2" t="s">
        <v>57</v>
      </c>
      <c r="C6" s="2" t="s">
        <v>4</v>
      </c>
      <c r="D6" s="3">
        <v>400</v>
      </c>
      <c r="G6" s="11" t="s">
        <v>68</v>
      </c>
      <c r="H6" s="5" t="s">
        <v>2</v>
      </c>
      <c r="I6" s="28">
        <v>650</v>
      </c>
      <c r="L6" s="6" t="s">
        <v>5</v>
      </c>
      <c r="M6" s="6">
        <v>25</v>
      </c>
    </row>
    <row r="7" spans="2:18" ht="15" customHeight="1" x14ac:dyDescent="0.25">
      <c r="B7" s="2" t="s">
        <v>58</v>
      </c>
      <c r="C7" s="2" t="s">
        <v>4</v>
      </c>
      <c r="D7" s="3">
        <v>55</v>
      </c>
      <c r="G7" s="11" t="s">
        <v>69</v>
      </c>
      <c r="H7" s="5" t="s">
        <v>1</v>
      </c>
      <c r="I7" s="28">
        <v>80</v>
      </c>
      <c r="L7" s="6" t="s">
        <v>1</v>
      </c>
      <c r="M7" s="6">
        <v>193</v>
      </c>
    </row>
    <row r="8" spans="2:18" ht="15" customHeight="1" x14ac:dyDescent="0.25">
      <c r="G8" s="11" t="s">
        <v>70</v>
      </c>
      <c r="H8" s="5" t="s">
        <v>71</v>
      </c>
      <c r="I8" s="28">
        <v>320</v>
      </c>
      <c r="L8" s="6" t="s">
        <v>3</v>
      </c>
      <c r="M8" s="6">
        <v>145</v>
      </c>
    </row>
    <row r="9" spans="2:18" ht="15" customHeight="1" x14ac:dyDescent="0.25">
      <c r="G9" s="11" t="s">
        <v>72</v>
      </c>
      <c r="H9" s="5" t="s">
        <v>3</v>
      </c>
      <c r="I9" s="28">
        <v>120</v>
      </c>
      <c r="L9" s="6" t="s">
        <v>71</v>
      </c>
      <c r="M9" s="6">
        <v>320</v>
      </c>
    </row>
    <row r="10" spans="2:18" ht="15" customHeight="1" x14ac:dyDescent="0.25">
      <c r="G10" s="11" t="s">
        <v>73</v>
      </c>
      <c r="H10" s="5" t="s">
        <v>3</v>
      </c>
      <c r="I10" s="28">
        <v>25</v>
      </c>
      <c r="L10" s="6" t="s">
        <v>2</v>
      </c>
      <c r="M10" s="6">
        <v>870</v>
      </c>
    </row>
    <row r="11" spans="2:18" ht="15" customHeight="1" x14ac:dyDescent="0.25">
      <c r="G11" s="11" t="s">
        <v>74</v>
      </c>
      <c r="H11" s="5" t="s">
        <v>2</v>
      </c>
      <c r="I11" s="28">
        <v>220</v>
      </c>
      <c r="L11" s="24" t="s">
        <v>7</v>
      </c>
      <c r="M11" s="26">
        <v>1893</v>
      </c>
    </row>
    <row r="12" spans="2:18" ht="15" customHeight="1" x14ac:dyDescent="0.25">
      <c r="G12" s="11" t="s">
        <v>75</v>
      </c>
      <c r="H12" s="5" t="s">
        <v>1</v>
      </c>
      <c r="I12" s="28">
        <v>113</v>
      </c>
      <c r="L12"/>
      <c r="M12"/>
    </row>
    <row r="13" spans="2:18" ht="15" customHeight="1" x14ac:dyDescent="0.25">
      <c r="G13" s="11" t="s">
        <v>76</v>
      </c>
      <c r="H13" s="5" t="s">
        <v>5</v>
      </c>
      <c r="I13" s="28">
        <v>25</v>
      </c>
      <c r="L13"/>
      <c r="M13"/>
    </row>
    <row r="14" spans="2:18" ht="15" customHeight="1" x14ac:dyDescent="0.25">
      <c r="L14"/>
      <c r="M14"/>
    </row>
    <row r="15" spans="2:18" ht="15" customHeight="1" x14ac:dyDescent="0.25">
      <c r="L15"/>
      <c r="M15"/>
    </row>
    <row r="16" spans="2:18" ht="15" customHeight="1" x14ac:dyDescent="0.25">
      <c r="L16" s="19"/>
    </row>
    <row r="17" spans="12:12" ht="15" customHeight="1" x14ac:dyDescent="0.25">
      <c r="L17" s="19"/>
    </row>
    <row r="18" spans="12:12" ht="15" customHeight="1" x14ac:dyDescent="0.25">
      <c r="L18" s="19"/>
    </row>
    <row r="19" spans="12:12" ht="15" customHeight="1" x14ac:dyDescent="0.25">
      <c r="L19" s="19"/>
    </row>
  </sheetData>
  <mergeCells count="1">
    <mergeCell ref="L2:M2"/>
  </mergeCells>
  <pageMargins left="0.7" right="0.7" top="0.75" bottom="0.75" header="0.3" footer="0.3"/>
  <drawing r:id="rId2"/>
  <tableParts count="2"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B45F6-CE95-4C4C-A646-090CE71F0BEB}">
  <dimension ref="B2:R19"/>
  <sheetViews>
    <sheetView workbookViewId="0">
      <selection activeCell="L31" sqref="L31"/>
    </sheetView>
  </sheetViews>
  <sheetFormatPr baseColWidth="10" defaultColWidth="9.140625" defaultRowHeight="15" customHeight="1" x14ac:dyDescent="0.25"/>
  <cols>
    <col min="1" max="1" width="9.140625" style="2"/>
    <col min="2" max="2" width="31.42578125" style="2" customWidth="1"/>
    <col min="3" max="3" width="19.42578125" style="2" customWidth="1"/>
    <col min="4" max="4" width="17.5703125" style="3" customWidth="1"/>
    <col min="5" max="6" width="9.140625" style="2"/>
    <col min="7" max="7" width="28.42578125" style="2" bestFit="1" customWidth="1"/>
    <col min="8" max="8" width="14" style="2" bestFit="1" customWidth="1"/>
    <col min="9" max="9" width="18.5703125" style="2" customWidth="1"/>
    <col min="10" max="10" width="15.85546875" style="2" bestFit="1" customWidth="1"/>
    <col min="11" max="11" width="11.28515625" style="2" customWidth="1"/>
    <col min="12" max="12" width="15.85546875" style="2" bestFit="1" customWidth="1"/>
    <col min="13" max="13" width="9.5703125" style="2" bestFit="1" customWidth="1"/>
    <col min="14" max="14" width="18.7109375" style="2" customWidth="1"/>
    <col min="15" max="15" width="13.7109375" style="2" customWidth="1"/>
    <col min="16" max="17" width="9.140625" style="2"/>
    <col min="18" max="18" width="15.85546875" style="2" bestFit="1" customWidth="1"/>
    <col min="19" max="19" width="11.28515625" style="2" bestFit="1" customWidth="1"/>
    <col min="20" max="16384" width="9.140625" style="2"/>
  </cols>
  <sheetData>
    <row r="2" spans="2:18" ht="15" customHeight="1" x14ac:dyDescent="0.25">
      <c r="B2" s="21" t="s">
        <v>55</v>
      </c>
      <c r="C2" s="21" t="s">
        <v>25</v>
      </c>
      <c r="D2" s="20">
        <f>SUM(ingresos_diciembre[Monto])</f>
        <v>1829</v>
      </c>
      <c r="G2" s="21" t="s">
        <v>56</v>
      </c>
      <c r="H2" s="21" t="s">
        <v>25</v>
      </c>
      <c r="I2" s="20">
        <f>GETPIVOTDATA("Monto",$L$4)</f>
        <v>1718</v>
      </c>
      <c r="L2" s="48" t="s">
        <v>29</v>
      </c>
      <c r="M2" s="49"/>
      <c r="R2" s="4"/>
    </row>
    <row r="4" spans="2:18" ht="15" customHeight="1" x14ac:dyDescent="0.25">
      <c r="B4" s="2" t="s">
        <v>30</v>
      </c>
      <c r="C4" s="2" t="s">
        <v>31</v>
      </c>
      <c r="D4" s="3" t="s">
        <v>32</v>
      </c>
      <c r="G4" s="22" t="s">
        <v>30</v>
      </c>
      <c r="H4" s="23" t="s">
        <v>31</v>
      </c>
      <c r="I4" s="27" t="s">
        <v>32</v>
      </c>
      <c r="L4" s="24" t="s">
        <v>6</v>
      </c>
      <c r="M4" s="25" t="s">
        <v>25</v>
      </c>
    </row>
    <row r="5" spans="2:18" ht="15" customHeight="1" x14ac:dyDescent="0.25">
      <c r="B5" s="2" t="s">
        <v>67</v>
      </c>
      <c r="C5" s="2" t="s">
        <v>33</v>
      </c>
      <c r="D5" s="3">
        <v>1675</v>
      </c>
      <c r="G5" s="11" t="s">
        <v>26</v>
      </c>
      <c r="H5" s="5" t="s">
        <v>0</v>
      </c>
      <c r="I5" s="28">
        <v>260</v>
      </c>
      <c r="L5" s="6" t="s">
        <v>0</v>
      </c>
      <c r="M5" s="6">
        <v>260</v>
      </c>
    </row>
    <row r="6" spans="2:18" ht="15" customHeight="1" x14ac:dyDescent="0.25">
      <c r="B6" s="2" t="s">
        <v>57</v>
      </c>
      <c r="C6" s="2" t="s">
        <v>4</v>
      </c>
      <c r="D6" s="3">
        <v>120</v>
      </c>
      <c r="G6" s="11" t="s">
        <v>68</v>
      </c>
      <c r="H6" s="5" t="s">
        <v>2</v>
      </c>
      <c r="I6" s="28">
        <v>650</v>
      </c>
      <c r="L6" s="6" t="s">
        <v>1</v>
      </c>
      <c r="M6" s="6">
        <v>135</v>
      </c>
    </row>
    <row r="7" spans="2:18" ht="15" customHeight="1" x14ac:dyDescent="0.25">
      <c r="B7" s="2" t="s">
        <v>58</v>
      </c>
      <c r="C7" s="2" t="s">
        <v>4</v>
      </c>
      <c r="D7" s="3">
        <v>34</v>
      </c>
      <c r="G7" s="11" t="s">
        <v>69</v>
      </c>
      <c r="H7" s="5" t="s">
        <v>1</v>
      </c>
      <c r="I7" s="28">
        <v>35</v>
      </c>
      <c r="L7" s="6" t="s">
        <v>3</v>
      </c>
      <c r="M7" s="6">
        <v>145</v>
      </c>
    </row>
    <row r="8" spans="2:18" ht="15" customHeight="1" x14ac:dyDescent="0.25">
      <c r="G8" s="11" t="s">
        <v>70</v>
      </c>
      <c r="H8" s="5" t="s">
        <v>71</v>
      </c>
      <c r="I8" s="28">
        <v>340</v>
      </c>
      <c r="L8" s="6" t="s">
        <v>71</v>
      </c>
      <c r="M8" s="6">
        <v>340</v>
      </c>
    </row>
    <row r="9" spans="2:18" ht="15" customHeight="1" x14ac:dyDescent="0.25">
      <c r="G9" s="11" t="s">
        <v>72</v>
      </c>
      <c r="H9" s="5" t="s">
        <v>3</v>
      </c>
      <c r="I9" s="28">
        <v>120</v>
      </c>
      <c r="L9" s="6" t="s">
        <v>2</v>
      </c>
      <c r="M9" s="6">
        <v>838</v>
      </c>
    </row>
    <row r="10" spans="2:18" ht="15" customHeight="1" x14ac:dyDescent="0.25">
      <c r="G10" s="11" t="s">
        <v>73</v>
      </c>
      <c r="H10" s="5" t="s">
        <v>3</v>
      </c>
      <c r="I10" s="28">
        <v>25</v>
      </c>
      <c r="L10" s="24" t="s">
        <v>7</v>
      </c>
      <c r="M10" s="26">
        <v>1718</v>
      </c>
    </row>
    <row r="11" spans="2:18" ht="15" customHeight="1" x14ac:dyDescent="0.25">
      <c r="G11" s="11" t="s">
        <v>74</v>
      </c>
      <c r="H11" s="5" t="s">
        <v>2</v>
      </c>
      <c r="I11" s="28">
        <v>188</v>
      </c>
      <c r="L11"/>
      <c r="M11"/>
    </row>
    <row r="12" spans="2:18" ht="15" customHeight="1" x14ac:dyDescent="0.25">
      <c r="G12" s="11" t="s">
        <v>75</v>
      </c>
      <c r="H12" s="5" t="s">
        <v>1</v>
      </c>
      <c r="I12" s="28">
        <v>100</v>
      </c>
      <c r="L12"/>
      <c r="M12"/>
    </row>
    <row r="13" spans="2:18" ht="15" customHeight="1" x14ac:dyDescent="0.25">
      <c r="L13"/>
      <c r="M13"/>
    </row>
    <row r="14" spans="2:18" ht="15" customHeight="1" x14ac:dyDescent="0.25">
      <c r="L14"/>
      <c r="M14"/>
    </row>
    <row r="15" spans="2:18" ht="15" customHeight="1" x14ac:dyDescent="0.25">
      <c r="L15"/>
      <c r="M15"/>
    </row>
    <row r="16" spans="2:18" ht="15" customHeight="1" x14ac:dyDescent="0.25">
      <c r="L16" s="19"/>
    </row>
    <row r="17" spans="12:12" ht="15" customHeight="1" x14ac:dyDescent="0.25">
      <c r="L17" s="19"/>
    </row>
    <row r="18" spans="12:12" ht="15" customHeight="1" x14ac:dyDescent="0.25">
      <c r="L18" s="19"/>
    </row>
    <row r="19" spans="12:12" ht="15" customHeight="1" x14ac:dyDescent="0.25">
      <c r="L19" s="19"/>
    </row>
  </sheetData>
  <mergeCells count="1">
    <mergeCell ref="L2:M2"/>
  </mergeCells>
  <pageMargins left="0.7" right="0.7" top="0.75" bottom="0.75" header="0.3" footer="0.3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2985D8-67EA-474D-B711-C607E329C7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Resumen anual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Puchades del Olmo</dc:creator>
  <cp:lastModifiedBy>Puchades del Olmo Mariano</cp:lastModifiedBy>
  <dcterms:created xsi:type="dcterms:W3CDTF">2015-06-05T18:17:20Z</dcterms:created>
  <dcterms:modified xsi:type="dcterms:W3CDTF">2026-02-04T15:56:32Z</dcterms:modified>
</cp:coreProperties>
</file>